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A" state="visible" r:id="rId4"/>
    <sheet sheetId="2" name="B" state="visible" r:id="rId5"/>
    <sheet sheetId="3" name="C" state="visible" r:id="rId6"/>
    <sheet sheetId="4" name="D" state="visible" r:id="rId7"/>
    <sheet sheetId="5" name="Du lieu" state="visible" r:id="rId8"/>
    <sheet sheetId="6" name="TH" state="visible" r:id="rId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F228" authorId="0">
      <text>
        <r>
          <rPr>
            <color theme="1"/>
            <family val="2"/>
            <scheme val="minor"/>
            <sz val="11"/>
            <rFont val="Calibri"/>
          </rPr>
          <t xml:space="preserve">Bốc không hết
======</t>
        </r>
      </text>
    </comment>
    <comment ref="CF229" authorId="0">
      <text>
        <r>
          <rPr>
            <color theme="1"/>
            <family val="2"/>
            <scheme val="minor"/>
            <sz val="11"/>
            <rFont val="Calibri"/>
          </rPr>
          <t xml:space="preserve">Bốc không hết
======</t>
        </r>
      </text>
    </comment>
    <comment ref="CF230" authorId="0">
      <text>
        <r>
          <rPr>
            <color theme="1"/>
            <family val="2"/>
            <scheme val="minor"/>
            <sz val="11"/>
            <rFont val="Calibri"/>
          </rPr>
          <t xml:space="preserve">Bốc không hết
======</t>
        </r>
      </text>
    </comment>
    <comment ref="CF236" authorId="0">
      <text>
        <r>
          <rPr>
            <color theme="1"/>
            <family val="2"/>
            <scheme val="minor"/>
            <sz val="11"/>
            <rFont val="Calibri"/>
          </rPr>
          <t xml:space="preserve">Chưa bốc
======</t>
        </r>
      </text>
    </comment>
    <comment ref="CF237" authorId="0">
      <text>
        <r>
          <rPr>
            <color theme="1"/>
            <family val="2"/>
            <scheme val="minor"/>
            <sz val="11"/>
            <rFont val="Calibri"/>
          </rPr>
          <t xml:space="preserve">Bốc không hết
======</t>
        </r>
      </text>
    </comment>
    <comment ref="CF238" authorId="0">
      <text>
        <r>
          <rPr>
            <color theme="1"/>
            <family val="2"/>
            <scheme val="minor"/>
            <sz val="11"/>
            <rFont val="Calibri"/>
          </rPr>
          <t xml:space="preserve">Bốc không hết
======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CF228" authorId="0">
      <text>
        <r>
          <rPr>
            <color theme="1"/>
            <family val="2"/>
            <scheme val="minor"/>
            <sz val="11"/>
            <rFont val="Calibri"/>
          </rPr>
          <t xml:space="preserve">Bốc không hết
======</t>
        </r>
      </text>
    </comment>
    <comment ref="CF229" authorId="0">
      <text>
        <r>
          <rPr>
            <color theme="1"/>
            <family val="2"/>
            <scheme val="minor"/>
            <sz val="11"/>
            <rFont val="Calibri"/>
          </rPr>
          <t xml:space="preserve">Bốc không hết
======</t>
        </r>
      </text>
    </comment>
    <comment ref="CF230" authorId="0">
      <text>
        <r>
          <rPr>
            <color theme="1"/>
            <family val="2"/>
            <scheme val="minor"/>
            <sz val="11"/>
            <rFont val="Calibri"/>
          </rPr>
          <t xml:space="preserve">Bốc không hết
======</t>
        </r>
      </text>
    </comment>
    <comment ref="CF236" authorId="0">
      <text>
        <r>
          <rPr>
            <color theme="1"/>
            <family val="2"/>
            <scheme val="minor"/>
            <sz val="11"/>
            <rFont val="Calibri"/>
          </rPr>
          <t xml:space="preserve">Chưa bốc
======</t>
        </r>
      </text>
    </comment>
    <comment ref="CF237" authorId="0">
      <text>
        <r>
          <rPr>
            <color theme="1"/>
            <family val="2"/>
            <scheme val="minor"/>
            <sz val="11"/>
            <rFont val="Calibri"/>
          </rPr>
          <t xml:space="preserve">Bốc không hết
======</t>
        </r>
      </text>
    </comment>
    <comment ref="CF238" authorId="0">
      <text>
        <r>
          <rPr>
            <color theme="1"/>
            <family val="2"/>
            <scheme val="minor"/>
            <sz val="11"/>
            <rFont val="Calibri"/>
          </rPr>
          <t xml:space="preserve">Bốc không hết
======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CF228" authorId="0">
      <text>
        <r>
          <rPr>
            <color theme="1"/>
            <family val="2"/>
            <scheme val="minor"/>
            <sz val="11"/>
            <rFont val="Calibri"/>
          </rPr>
          <t xml:space="preserve">Bốc không hết
======</t>
        </r>
      </text>
    </comment>
    <comment ref="CF229" authorId="0">
      <text>
        <r>
          <rPr>
            <color theme="1"/>
            <family val="2"/>
            <scheme val="minor"/>
            <sz val="11"/>
            <rFont val="Calibri"/>
          </rPr>
          <t xml:space="preserve">Bốc không hết
======</t>
        </r>
      </text>
    </comment>
    <comment ref="CF230" authorId="0">
      <text>
        <r>
          <rPr>
            <color theme="1"/>
            <family val="2"/>
            <scheme val="minor"/>
            <sz val="11"/>
            <rFont val="Calibri"/>
          </rPr>
          <t xml:space="preserve">Bốc không hết
======</t>
        </r>
      </text>
    </comment>
    <comment ref="CF236" authorId="0">
      <text>
        <r>
          <rPr>
            <color theme="1"/>
            <family val="2"/>
            <scheme val="minor"/>
            <sz val="11"/>
            <rFont val="Calibri"/>
          </rPr>
          <t xml:space="preserve">Chưa bốc
======</t>
        </r>
      </text>
    </comment>
    <comment ref="CF237" authorId="0">
      <text>
        <r>
          <rPr>
            <color theme="1"/>
            <family val="2"/>
            <scheme val="minor"/>
            <sz val="11"/>
            <rFont val="Calibri"/>
          </rPr>
          <t xml:space="preserve">Bốc không hết
======</t>
        </r>
      </text>
    </comment>
    <comment ref="CF238" authorId="0">
      <text>
        <r>
          <rPr>
            <color theme="1"/>
            <family val="2"/>
            <scheme val="minor"/>
            <sz val="11"/>
            <rFont val="Calibri"/>
          </rPr>
          <t xml:space="preserve">Bốc không hết
======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F228" authorId="0">
      <text>
        <r>
          <rPr>
            <color theme="1"/>
            <family val="2"/>
            <scheme val="minor"/>
            <sz val="11"/>
            <rFont val="Calibri"/>
          </rPr>
          <t xml:space="preserve">Bốc không hết
======</t>
        </r>
      </text>
    </comment>
    <comment ref="CF229" authorId="0">
      <text>
        <r>
          <rPr>
            <color theme="1"/>
            <family val="2"/>
            <scheme val="minor"/>
            <sz val="11"/>
            <rFont val="Calibri"/>
          </rPr>
          <t xml:space="preserve">Bốc không hết
======</t>
        </r>
      </text>
    </comment>
    <comment ref="CF230" authorId="0">
      <text>
        <r>
          <rPr>
            <color theme="1"/>
            <family val="2"/>
            <scheme val="minor"/>
            <sz val="11"/>
            <rFont val="Calibri"/>
          </rPr>
          <t xml:space="preserve">Bốc không hết
======</t>
        </r>
      </text>
    </comment>
    <comment ref="CF236" authorId="0">
      <text>
        <r>
          <rPr>
            <color theme="1"/>
            <family val="2"/>
            <scheme val="minor"/>
            <sz val="11"/>
            <rFont val="Calibri"/>
          </rPr>
          <t xml:space="preserve">Chưa bốc
======</t>
        </r>
      </text>
    </comment>
    <comment ref="CF237" authorId="0">
      <text>
        <r>
          <rPr>
            <color theme="1"/>
            <family val="2"/>
            <scheme val="minor"/>
            <sz val="11"/>
            <rFont val="Calibri"/>
          </rPr>
          <t xml:space="preserve">Bốc không hết
======</t>
        </r>
      </text>
    </comment>
    <comment ref="CF238" authorId="0">
      <text>
        <r>
          <rPr>
            <color theme="1"/>
            <family val="2"/>
            <scheme val="minor"/>
            <sz val="11"/>
            <rFont val="Calibri"/>
          </rPr>
          <t xml:space="preserve">Bốc không hết
======</t>
        </r>
      </text>
    </comment>
  </commentList>
</comments>
</file>

<file path=xl/sharedStrings.xml><?xml version="1.0" encoding="utf-8"?>
<sst xmlns="http://schemas.openxmlformats.org/spreadsheetml/2006/main" count="536" uniqueCount="40">
  <si>
    <t>Báo cáo sản lượng hàng ngày</t>
  </si>
  <si>
    <t>Tháng</t>
  </si>
  <si>
    <t>Đội</t>
  </si>
  <si>
    <t>Phiên cạo</t>
  </si>
  <si>
    <t>A</t>
  </si>
  <si>
    <t>STT</t>
  </si>
  <si>
    <t>Mã Tổ</t>
  </si>
  <si>
    <t>Mã Công nhân</t>
  </si>
  <si>
    <t>Lô</t>
  </si>
  <si>
    <t>Mã phần cạo</t>
  </si>
  <si>
    <t>Mặt cạo</t>
  </si>
  <si>
    <t>Số cây cạo</t>
  </si>
  <si>
    <t>Giống</t>
  </si>
  <si>
    <t>Thông tin sản lượng theo ngày</t>
  </si>
  <si>
    <t>Tổng</t>
  </si>
  <si>
    <t>Sản lượng (kg)</t>
  </si>
  <si>
    <t>số nhát thu mủ</t>
  </si>
  <si>
    <t>NSBQ (kg/lát)</t>
  </si>
  <si>
    <t>Sản lượng đầu tháng (kg)</t>
  </si>
  <si>
    <t>Sản lượng cuối tháng(kg)</t>
  </si>
  <si>
    <t>số nhát thu mủ cuối tháng</t>
  </si>
  <si>
    <t xml:space="preserve">Quy khô đầu tháng </t>
  </si>
  <si>
    <t xml:space="preserve">Quy khô cuối tháng </t>
  </si>
  <si>
    <t>Tổng quy khô</t>
  </si>
  <si>
    <t>Tổng lát</t>
  </si>
  <si>
    <t/>
  </si>
  <si>
    <t>B</t>
  </si>
  <si>
    <t>C</t>
  </si>
  <si>
    <t>D</t>
  </si>
  <si>
    <t>Cây cạo</t>
  </si>
  <si>
    <t>Số nhát thu mủ đầu tháng</t>
  </si>
  <si>
    <t>Số nhát thu mủ cuối tháng</t>
  </si>
  <si>
    <t>G/cc/l</t>
  </si>
  <si>
    <t>Sum of Sản lượng đầu tháng (kg)</t>
  </si>
  <si>
    <t>Sum of Sản lượng cuối tháng(kg)</t>
  </si>
  <si>
    <t>Sum of Tổng lát</t>
  </si>
  <si>
    <t>Count of Mã phần cạo</t>
  </si>
  <si>
    <t>Sum of Sản lượng cuối tháng (kg)</t>
  </si>
  <si>
    <t>Average of Tổng lát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</si>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</sst>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5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20"/>
      <name val="Times New Roman"/>
    </font>
    <font>
      <color theme="1"/>
      <scheme val="minor"/>
      <sz val="11"/>
      <name val="Calibri"/>
    </font>
    <font>
      <b/>
      <color theme="1"/>
      <family val="1"/>
      <sz val="12"/>
      <name val="Times New Roman"/>
    </font>
    <font>
      <family val="2"/>
      <sz val="11"/>
      <name val="Calibri"/>
    </font>
    <font>
      <color theme="1"/>
      <family val="1"/>
      <sz val="11"/>
      <name val="Times New Roman"/>
    </font>
    <font>
      <b/>
      <color theme="1"/>
      <family val="1"/>
      <sz val="10"/>
      <name val="Times New Roman"/>
    </font>
    <font>
      <b/>
      <color theme="1"/>
      <family val="1"/>
      <sz val="11"/>
      <name val="Times New Roman"/>
    </font>
    <font>
      <color theme="1"/>
      <family val="1"/>
      <sz val="10"/>
      <name val="Times New Roman"/>
    </font>
    <font>
      <color rgb="FF000000"/>
      <sz val="11"/>
      <name val="&quot;Times New Roman&quot;"/>
    </font>
    <font>
      <color rgb="FF000000"/>
      <family val="1"/>
      <sz val="12"/>
      <name val="Times New Roman"/>
    </font>
    <font>
      <b/>
      <color rgb="FF000000"/>
      <family val="1"/>
      <sz val="10"/>
      <name val="Times New Roman"/>
    </font>
    <font>
      <color rgb="FF000000"/>
      <family val="1"/>
      <sz val="10"/>
      <name val="Times New Roman"/>
    </font>
    <font>
      <color theme="1"/>
      <family val="2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DBDB"/>
        <bgColor rgb="FFF2DBDB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D99594"/>
        <bgColor rgb="FFD99594"/>
      </patternFill>
    </fill>
    <fill>
      <patternFill patternType="solid">
        <fgColor rgb="FFCCFFCC"/>
        <bgColor rgb="FFCC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5" fillId="0" borderId="5" xfId="0" applyFont="1" applyBorder="1"/>
    <xf numFmtId="0" fontId="5" fillId="0" borderId="6" xfId="0" applyFont="1" applyBorder="1"/>
    <xf numFmtId="0" fontId="5" fillId="0" borderId="2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/>
    </xf>
    <xf numFmtId="0" fontId="5" fillId="0" borderId="7" xfId="0" applyFont="1" applyBorder="1"/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center" shrinkToFit="1"/>
    </xf>
    <xf numFmtId="1" fontId="9" fillId="7" borderId="1" xfId="0" applyNumberFormat="1" applyFont="1" applyFill="1" applyBorder="1" applyAlignment="1">
      <alignment horizontal="center" vertical="center" shrinkToFit="1"/>
    </xf>
    <xf numFmtId="1" fontId="9" fillId="3" borderId="1" xfId="0" applyNumberFormat="1" applyFont="1" applyFill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shrinkToFit="1"/>
    </xf>
    <xf numFmtId="2" fontId="9" fillId="0" borderId="0" xfId="0" applyNumberFormat="1" applyFont="1" applyAlignment="1">
      <alignment vertical="center" shrinkToFit="1"/>
    </xf>
    <xf numFmtId="0" fontId="9" fillId="0" borderId="0" xfId="0" applyFont="1" applyAlignment="1">
      <alignment horizontal="center" vertical="center" shrinkToFit="1"/>
    </xf>
    <xf numFmtId="0" fontId="4" fillId="0" borderId="4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" fontId="10" fillId="8" borderId="1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 wrapText="1"/>
    </xf>
    <xf numFmtId="0" fontId="5" fillId="0" borderId="9" xfId="0" applyFont="1" applyBorder="1"/>
    <xf numFmtId="164" fontId="6" fillId="3" borderId="3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13" fillId="7" borderId="1" xfId="0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2" fontId="14" fillId="0" borderId="1" xfId="0" applyNumberFormat="1" applyFont="1" applyBorder="1"/>
    <xf numFmtId="2" fontId="0" fillId="0" borderId="0" xfId="0" applyNumberFormat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14" fillId="0" borderId="0" xfId="0" applyFont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</cellXfs>
  <cellStyles count="1">
    <cellStyle name="Normal" xfId="0" builtinId="0"/>
  </cellStyles>
  <dxfs count="7"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365"/>
  <sheetViews>
    <sheetView workbookViewId="0" zoomScale="100" zoomScaleNormal="100">
      <pane xSplit="5" ySplit="9" topLeftCell="F10" activePane="bottomRight" state="frozen"/>
      <selection pane="bottomRight" activeCell="H33" sqref="H33"/>
    </sheetView>
  </sheetViews>
  <sheetFormatPr defaultRowHeight="15" outlineLevelRow="0" outlineLevelCol="0" x14ac:dyDescent="0" defaultColWidth="14.42578125"/>
  <cols>
    <col min="1" max="1" width="9.42578125" customWidth="1"/>
    <col min="2" max="2" width="7.5703125" customWidth="1"/>
    <col min="3" max="3" width="10.7109375" customWidth="1"/>
    <col min="4" max="4" width="5.7109375" customWidth="1"/>
    <col min="5" max="8" width="8.85546875" customWidth="1"/>
    <col min="9" max="11" width="6.85546875" customWidth="1"/>
    <col min="12" max="39" width="7.7109375" customWidth="1"/>
    <col min="40" max="57" width="6.85546875" customWidth="1"/>
    <col min="58" max="59" width="7.28515625" customWidth="1"/>
    <col min="60" max="66" width="6.85546875" customWidth="1"/>
    <col min="67" max="67" width="7.42578125" customWidth="1"/>
    <col min="68" max="69" width="6.85546875" customWidth="1"/>
    <col min="70" max="71" width="7.28515625" customWidth="1"/>
    <col min="72" max="101" width="6.85546875" customWidth="1"/>
    <col min="102" max="110" width="9.140625" customWidth="1"/>
  </cols>
  <sheetData>
    <row r="1" ht="23.25" customHeight="1" spans="1:110" x14ac:dyDescent="0.2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  <c r="AC1" s="4"/>
      <c r="AD1" s="5"/>
      <c r="AE1" s="4"/>
      <c r="AF1" s="4"/>
      <c r="AG1" s="5"/>
      <c r="AH1" s="6"/>
      <c r="AI1" s="6"/>
      <c r="AJ1" s="7"/>
      <c r="AK1" s="6"/>
      <c r="AL1" s="6"/>
      <c r="AM1" s="7"/>
      <c r="AN1" s="6"/>
      <c r="AO1" s="6"/>
      <c r="AP1" s="7"/>
      <c r="AQ1" s="6"/>
      <c r="AR1" s="6"/>
      <c r="AS1" s="7"/>
      <c r="AT1" s="6"/>
      <c r="AU1" s="6"/>
      <c r="AV1" s="7"/>
      <c r="AW1" s="6"/>
      <c r="AX1" s="6"/>
      <c r="AY1" s="7"/>
      <c r="AZ1" s="6"/>
      <c r="BA1" s="6"/>
      <c r="BB1" s="7"/>
      <c r="BC1" s="6"/>
      <c r="BD1" s="6"/>
      <c r="BE1" s="7"/>
      <c r="BF1" s="6"/>
      <c r="BG1" s="6"/>
      <c r="BH1" s="7"/>
      <c r="BI1" s="6"/>
      <c r="BJ1" s="6"/>
      <c r="BK1" s="7"/>
      <c r="BL1" s="6"/>
      <c r="BM1" s="6"/>
      <c r="BN1" s="7"/>
      <c r="BO1" s="6"/>
      <c r="BP1" s="6"/>
      <c r="BQ1" s="7"/>
      <c r="BR1" s="6"/>
      <c r="BS1" s="6"/>
      <c r="BT1" s="7"/>
      <c r="BU1" s="6"/>
      <c r="BV1" s="6"/>
      <c r="BW1" s="7"/>
      <c r="BX1" s="6"/>
      <c r="BY1" s="6"/>
      <c r="BZ1" s="7"/>
      <c r="CA1" s="6"/>
      <c r="CB1" s="6"/>
      <c r="CC1" s="7"/>
      <c r="CD1" s="6"/>
      <c r="CE1" s="6"/>
      <c r="CF1" s="7"/>
      <c r="CG1" s="6"/>
      <c r="CH1" s="6"/>
      <c r="CI1" s="7"/>
      <c r="CJ1" s="6"/>
      <c r="CK1" s="6"/>
      <c r="CL1" s="7"/>
      <c r="CM1" s="6"/>
      <c r="CN1" s="6"/>
      <c r="CO1" s="7"/>
      <c r="CP1" s="6"/>
      <c r="CQ1" s="6"/>
      <c r="CR1" s="7"/>
      <c r="CS1" s="6"/>
      <c r="CT1" s="6"/>
      <c r="CU1" s="7"/>
      <c r="CV1" s="6"/>
      <c r="CW1" s="6"/>
      <c r="CX1" s="1"/>
      <c r="CY1" s="1"/>
      <c r="CZ1" s="1"/>
      <c r="DA1" s="1"/>
      <c r="DB1" s="1"/>
      <c r="DC1" s="1"/>
      <c r="DD1" s="1"/>
      <c r="DE1" s="1"/>
      <c r="DF1" s="1"/>
    </row>
    <row r="2" ht="2.25" customHeight="1" spans="1:110" x14ac:dyDescent="0.25">
      <c r="A2" s="1"/>
      <c r="B2" s="1"/>
      <c r="C2" s="1"/>
      <c r="D2" s="1"/>
      <c r="E2" s="1"/>
      <c r="F2" s="1"/>
      <c r="G2" s="1"/>
      <c r="H2" s="1"/>
      <c r="I2" s="1"/>
      <c r="J2" s="8"/>
      <c r="K2" s="8"/>
      <c r="L2" s="1"/>
      <c r="M2" s="8"/>
      <c r="N2" s="8"/>
      <c r="O2" s="1"/>
      <c r="P2" s="8"/>
      <c r="Q2" s="8"/>
      <c r="R2" s="1"/>
      <c r="S2" s="8"/>
      <c r="T2" s="8"/>
      <c r="U2" s="1"/>
      <c r="V2" s="8"/>
      <c r="W2" s="8"/>
      <c r="X2" s="1"/>
      <c r="Y2" s="8"/>
      <c r="Z2" s="8"/>
      <c r="AA2" s="1"/>
      <c r="AB2" s="8"/>
      <c r="AC2" s="8"/>
      <c r="AD2" s="1"/>
      <c r="AE2" s="8"/>
      <c r="AF2" s="8"/>
      <c r="AG2" s="1"/>
      <c r="AH2" s="8"/>
      <c r="AI2" s="8"/>
      <c r="AJ2" s="1"/>
      <c r="AK2" s="8"/>
      <c r="AL2" s="8"/>
      <c r="AM2" s="1"/>
      <c r="AN2" s="8"/>
      <c r="AO2" s="8"/>
      <c r="AP2" s="1"/>
      <c r="AQ2" s="8"/>
      <c r="AR2" s="8"/>
      <c r="AS2" s="1"/>
      <c r="AT2" s="8"/>
      <c r="AU2" s="8"/>
      <c r="AV2" s="1"/>
      <c r="AW2" s="8"/>
      <c r="AX2" s="8"/>
      <c r="AY2" s="1"/>
      <c r="AZ2" s="8"/>
      <c r="BA2" s="8"/>
      <c r="BB2" s="1"/>
      <c r="BC2" s="8"/>
      <c r="BD2" s="8"/>
      <c r="BE2" s="1"/>
      <c r="BF2" s="8"/>
      <c r="BG2" s="8"/>
      <c r="BH2" s="1"/>
      <c r="BI2" s="8"/>
      <c r="BJ2" s="8"/>
      <c r="BK2" s="1"/>
      <c r="BL2" s="8"/>
      <c r="BM2" s="8"/>
      <c r="BN2" s="1"/>
      <c r="BO2" s="8"/>
      <c r="BP2" s="8"/>
      <c r="BQ2" s="1"/>
      <c r="BR2" s="8"/>
      <c r="BS2" s="8"/>
      <c r="BT2" s="1"/>
      <c r="BU2" s="8"/>
      <c r="BV2" s="8"/>
      <c r="BW2" s="1"/>
      <c r="BX2" s="8"/>
      <c r="BY2" s="8"/>
      <c r="BZ2" s="1"/>
      <c r="CA2" s="8"/>
      <c r="CB2" s="8"/>
      <c r="CC2" s="1"/>
      <c r="CD2" s="8"/>
      <c r="CE2" s="8"/>
      <c r="CF2" s="1"/>
      <c r="CG2" s="8"/>
      <c r="CH2" s="8"/>
      <c r="CI2" s="1"/>
      <c r="CJ2" s="8"/>
      <c r="CK2" s="8"/>
      <c r="CL2" s="1"/>
      <c r="CM2" s="8"/>
      <c r="CN2" s="8"/>
      <c r="CO2" s="1"/>
      <c r="CP2" s="8"/>
      <c r="CQ2" s="8"/>
      <c r="CR2" s="1"/>
      <c r="CS2" s="8"/>
      <c r="CT2" s="8"/>
      <c r="CU2" s="1"/>
      <c r="CV2" s="8"/>
      <c r="CW2" s="8"/>
      <c r="CX2" s="1"/>
      <c r="CY2" s="1"/>
      <c r="CZ2" s="1"/>
      <c r="DA2" s="1"/>
      <c r="DB2" s="1"/>
      <c r="DC2" s="1"/>
      <c r="DD2" s="1"/>
      <c r="DE2" s="1"/>
      <c r="DF2" s="1"/>
    </row>
    <row r="3" ht="15" customHeight="1" spans="1:110" x14ac:dyDescent="0.25">
      <c r="A3" s="9" t="s">
        <v>1</v>
      </c>
      <c r="B3" s="10"/>
      <c r="C3" s="1"/>
      <c r="D3" s="1"/>
      <c r="E3" s="1"/>
      <c r="F3" s="1"/>
      <c r="G3" s="1"/>
      <c r="H3" s="1"/>
      <c r="I3" s="1"/>
      <c r="J3" s="8"/>
      <c r="K3" s="8"/>
      <c r="L3" s="1"/>
      <c r="M3" s="8"/>
      <c r="N3" s="8"/>
      <c r="O3" s="1"/>
      <c r="P3" s="8"/>
      <c r="Q3" s="8"/>
      <c r="R3" s="1"/>
      <c r="S3" s="8"/>
      <c r="T3" s="8"/>
      <c r="U3" s="1"/>
      <c r="V3" s="8"/>
      <c r="W3" s="8"/>
      <c r="X3" s="1"/>
      <c r="Y3" s="8"/>
      <c r="Z3" s="8"/>
      <c r="AA3" s="1"/>
      <c r="AB3" s="8"/>
      <c r="AC3" s="8"/>
      <c r="AD3" s="1"/>
      <c r="AE3" s="8"/>
      <c r="AF3" s="8"/>
      <c r="AG3" s="1"/>
      <c r="AH3" s="8"/>
      <c r="AI3" s="8"/>
      <c r="AJ3" s="1"/>
      <c r="AK3" s="8"/>
      <c r="AL3" s="8"/>
      <c r="AM3" s="1"/>
      <c r="AN3" s="8"/>
      <c r="AO3" s="8"/>
      <c r="AP3" s="1"/>
      <c r="AQ3" s="8"/>
      <c r="AR3" s="8"/>
      <c r="AS3" s="1"/>
      <c r="AT3" s="8"/>
      <c r="AU3" s="8"/>
      <c r="AV3" s="1"/>
      <c r="AW3" s="8"/>
      <c r="AX3" s="8"/>
      <c r="AY3" s="1"/>
      <c r="AZ3" s="8"/>
      <c r="BA3" s="8"/>
      <c r="BB3" s="1"/>
      <c r="BC3" s="8"/>
      <c r="BD3" s="8"/>
      <c r="BE3" s="1"/>
      <c r="BF3" s="8"/>
      <c r="BG3" s="8"/>
      <c r="BH3" s="1"/>
      <c r="BI3" s="8"/>
      <c r="BJ3" s="8"/>
      <c r="BK3" s="1"/>
      <c r="BL3" s="8"/>
      <c r="BM3" s="8"/>
      <c r="BN3" s="1"/>
      <c r="BO3" s="8"/>
      <c r="BP3" s="8"/>
      <c r="BQ3" s="1"/>
      <c r="BR3" s="8"/>
      <c r="BS3" s="8"/>
      <c r="BT3" s="1"/>
      <c r="BU3" s="8"/>
      <c r="BV3" s="8"/>
      <c r="BW3" s="1"/>
      <c r="BX3" s="8"/>
      <c r="BY3" s="8"/>
      <c r="BZ3" s="1"/>
      <c r="CA3" s="8"/>
      <c r="CB3" s="8"/>
      <c r="CC3" s="1"/>
      <c r="CD3" s="8"/>
      <c r="CE3" s="8"/>
      <c r="CF3" s="1"/>
      <c r="CG3" s="8"/>
      <c r="CH3" s="8"/>
      <c r="CI3" s="1"/>
      <c r="CJ3" s="8"/>
      <c r="CK3" s="8"/>
      <c r="CL3" s="1"/>
      <c r="CM3" s="8"/>
      <c r="CN3" s="8"/>
      <c r="CO3" s="1"/>
      <c r="CP3" s="8"/>
      <c r="CQ3" s="8"/>
      <c r="CR3" s="1"/>
      <c r="CS3" s="8"/>
      <c r="CT3" s="8"/>
      <c r="CU3" s="1"/>
      <c r="CV3" s="8"/>
      <c r="CW3" s="8"/>
      <c r="CX3" s="1"/>
      <c r="CY3" s="1"/>
      <c r="CZ3" s="1"/>
      <c r="DA3" s="1"/>
      <c r="DB3" s="1"/>
      <c r="DC3" s="1"/>
      <c r="DD3" s="1"/>
      <c r="DE3" s="1"/>
      <c r="DF3" s="1"/>
    </row>
    <row r="4" ht="15" customHeight="1" spans="1:110" x14ac:dyDescent="0.25">
      <c r="A4" s="9" t="s">
        <v>2</v>
      </c>
      <c r="B4" s="9"/>
      <c r="C4" s="1"/>
      <c r="D4" s="1"/>
      <c r="E4" s="1"/>
      <c r="F4" s="1"/>
      <c r="G4" s="1"/>
      <c r="H4" s="1"/>
      <c r="I4" s="1"/>
      <c r="J4" s="8"/>
      <c r="K4" s="8"/>
      <c r="L4" s="1"/>
      <c r="M4" s="8"/>
      <c r="N4" s="8"/>
      <c r="O4" s="1"/>
      <c r="P4" s="8"/>
      <c r="Q4" s="8"/>
      <c r="R4" s="1"/>
      <c r="S4" s="8"/>
      <c r="T4" s="8"/>
      <c r="U4" s="1"/>
      <c r="V4" s="8"/>
      <c r="W4" s="8"/>
      <c r="X4" s="1"/>
      <c r="Y4" s="8"/>
      <c r="Z4" s="8"/>
      <c r="AA4" s="1"/>
      <c r="AB4" s="8"/>
      <c r="AC4" s="8"/>
      <c r="AD4" s="1"/>
      <c r="AE4" s="8"/>
      <c r="AF4" s="8"/>
      <c r="AG4" s="1"/>
      <c r="AH4" s="8"/>
      <c r="AI4" s="8"/>
      <c r="AJ4" s="1"/>
      <c r="AK4" s="8"/>
      <c r="AL4" s="8"/>
      <c r="AM4" s="1"/>
      <c r="AN4" s="8"/>
      <c r="AO4" s="8"/>
      <c r="AP4" s="1"/>
      <c r="AQ4" s="8"/>
      <c r="AR4" s="8"/>
      <c r="AS4" s="1"/>
      <c r="AT4" s="8"/>
      <c r="AU4" s="8"/>
      <c r="AV4" s="1"/>
      <c r="AW4" s="8"/>
      <c r="AX4" s="8"/>
      <c r="AY4" s="1"/>
      <c r="AZ4" s="8"/>
      <c r="BA4" s="8"/>
      <c r="BB4" s="1"/>
      <c r="BC4" s="8"/>
      <c r="BD4" s="8"/>
      <c r="BE4" s="1"/>
      <c r="BF4" s="8"/>
      <c r="BG4" s="8"/>
      <c r="BH4" s="1"/>
      <c r="BI4" s="8"/>
      <c r="BJ4" s="8"/>
      <c r="BK4" s="1"/>
      <c r="BL4" s="8"/>
      <c r="BM4" s="8"/>
      <c r="BN4" s="1"/>
      <c r="BO4" s="8"/>
      <c r="BP4" s="8"/>
      <c r="BQ4" s="1"/>
      <c r="BR4" s="8"/>
      <c r="BS4" s="8"/>
      <c r="BT4" s="1"/>
      <c r="BU4" s="8"/>
      <c r="BV4" s="8"/>
      <c r="BW4" s="1"/>
      <c r="BX4" s="8"/>
      <c r="BY4" s="8"/>
      <c r="BZ4" s="1"/>
      <c r="CA4" s="8"/>
      <c r="CB4" s="8"/>
      <c r="CC4" s="1"/>
      <c r="CD4" s="8"/>
      <c r="CE4" s="8"/>
      <c r="CF4" s="1"/>
      <c r="CG4" s="8"/>
      <c r="CH4" s="8"/>
      <c r="CI4" s="1"/>
      <c r="CJ4" s="8"/>
      <c r="CK4" s="8"/>
      <c r="CL4" s="1"/>
      <c r="CM4" s="8"/>
      <c r="CN4" s="8"/>
      <c r="CO4" s="1"/>
      <c r="CP4" s="8"/>
      <c r="CQ4" s="8"/>
      <c r="CR4" s="1"/>
      <c r="CS4" s="8"/>
      <c r="CT4" s="8"/>
      <c r="CU4" s="1"/>
      <c r="CV4" s="8"/>
      <c r="CW4" s="8"/>
      <c r="CX4" s="1"/>
      <c r="CY4" s="1"/>
      <c r="CZ4" s="1"/>
      <c r="DA4" s="1"/>
      <c r="DB4" s="1"/>
      <c r="DC4" s="1"/>
      <c r="DD4" s="1"/>
      <c r="DE4" s="1"/>
      <c r="DF4" s="1"/>
    </row>
    <row r="5" ht="15" customHeight="1" spans="1:110" x14ac:dyDescent="0.25">
      <c r="A5" s="9" t="s">
        <v>3</v>
      </c>
      <c r="B5" s="9" t="s">
        <v>4</v>
      </c>
      <c r="C5" s="1"/>
      <c r="D5" s="1"/>
      <c r="E5" s="1"/>
      <c r="F5" s="1"/>
      <c r="G5" s="1"/>
      <c r="H5" s="1"/>
      <c r="I5" s="1"/>
      <c r="J5" s="8"/>
      <c r="K5" s="8"/>
      <c r="L5" s="1"/>
      <c r="M5" s="8"/>
      <c r="N5" s="8"/>
      <c r="O5" s="1"/>
      <c r="P5" s="8"/>
      <c r="Q5" s="8"/>
      <c r="R5" s="1"/>
      <c r="S5" s="8"/>
      <c r="T5" s="8"/>
      <c r="U5" s="1"/>
      <c r="V5" s="8"/>
      <c r="W5" s="8"/>
      <c r="X5" s="1"/>
      <c r="Y5" s="8"/>
      <c r="Z5" s="8"/>
      <c r="AA5" s="1"/>
      <c r="AB5" s="8"/>
      <c r="AC5" s="8"/>
      <c r="AD5" s="1"/>
      <c r="AE5" s="8"/>
      <c r="AF5" s="8"/>
      <c r="AG5" s="1"/>
      <c r="AH5" s="8"/>
      <c r="AI5" s="8"/>
      <c r="AJ5" s="1"/>
      <c r="AK5" s="8"/>
      <c r="AL5" s="8"/>
      <c r="AM5" s="1"/>
      <c r="AN5" s="8"/>
      <c r="AO5" s="8"/>
      <c r="AP5" s="1"/>
      <c r="AQ5" s="8"/>
      <c r="AR5" s="8"/>
      <c r="AS5" s="1"/>
      <c r="AT5" s="8"/>
      <c r="AU5" s="8"/>
      <c r="AV5" s="1"/>
      <c r="AW5" s="8"/>
      <c r="AX5" s="8"/>
      <c r="AY5" s="1"/>
      <c r="AZ5" s="8"/>
      <c r="BA5" s="8"/>
      <c r="BB5" s="1"/>
      <c r="BC5" s="8"/>
      <c r="BD5" s="8"/>
      <c r="BE5" s="1"/>
      <c r="BF5" s="8"/>
      <c r="BG5" s="8"/>
      <c r="BH5" s="1"/>
      <c r="BI5" s="8"/>
      <c r="BJ5" s="8"/>
      <c r="BK5" s="1"/>
      <c r="BL5" s="8"/>
      <c r="BM5" s="8"/>
      <c r="BN5" s="1"/>
      <c r="BO5" s="8"/>
      <c r="BP5" s="8"/>
      <c r="BQ5" s="1"/>
      <c r="BR5" s="8"/>
      <c r="BS5" s="8"/>
      <c r="BT5" s="1"/>
      <c r="BU5" s="8"/>
      <c r="BV5" s="8"/>
      <c r="BW5" s="1"/>
      <c r="BX5" s="8"/>
      <c r="BY5" s="8"/>
      <c r="BZ5" s="1"/>
      <c r="CA5" s="8"/>
      <c r="CB5" s="8"/>
      <c r="CC5" s="1"/>
      <c r="CD5" s="8"/>
      <c r="CE5" s="8"/>
      <c r="CF5" s="1"/>
      <c r="CG5" s="8"/>
      <c r="CH5" s="8"/>
      <c r="CI5" s="1"/>
      <c r="CJ5" s="8"/>
      <c r="CK5" s="8"/>
      <c r="CL5" s="1"/>
      <c r="CM5" s="8"/>
      <c r="CN5" s="8"/>
      <c r="CO5" s="1"/>
      <c r="CP5" s="8"/>
      <c r="CQ5" s="8"/>
      <c r="CR5" s="1"/>
      <c r="CS5" s="8"/>
      <c r="CT5" s="8"/>
      <c r="CU5" s="1"/>
      <c r="CV5" s="8"/>
      <c r="CW5" s="8"/>
      <c r="CX5" s="1"/>
      <c r="CY5" s="1"/>
      <c r="CZ5" s="1"/>
      <c r="DA5" s="1"/>
      <c r="DB5" s="1"/>
      <c r="DC5" s="1"/>
      <c r="DD5" s="1"/>
      <c r="DE5" s="1"/>
      <c r="DF5" s="1"/>
    </row>
    <row r="6" ht="3" customHeight="1" spans="1:110" x14ac:dyDescent="0.25">
      <c r="A6" s="11"/>
      <c r="B6" s="12"/>
      <c r="C6" s="12"/>
      <c r="D6" s="12"/>
      <c r="E6" s="12"/>
      <c r="F6" s="13"/>
      <c r="G6" s="13"/>
      <c r="H6" s="13"/>
      <c r="I6" s="7"/>
      <c r="J6" s="6"/>
      <c r="K6" s="6"/>
      <c r="L6" s="7"/>
      <c r="M6" s="6"/>
      <c r="N6" s="6"/>
      <c r="O6" s="7"/>
      <c r="P6" s="6"/>
      <c r="Q6" s="6"/>
      <c r="R6" s="7"/>
      <c r="S6" s="6"/>
      <c r="T6" s="6"/>
      <c r="U6" s="7"/>
      <c r="V6" s="6"/>
      <c r="W6" s="6"/>
      <c r="X6" s="7"/>
      <c r="Y6" s="6"/>
      <c r="Z6" s="6"/>
      <c r="AA6" s="7"/>
      <c r="AB6" s="6"/>
      <c r="AC6" s="6"/>
      <c r="AD6" s="7"/>
      <c r="AE6" s="6"/>
      <c r="AF6" s="6"/>
      <c r="AG6" s="7"/>
      <c r="AH6" s="6"/>
      <c r="AI6" s="6"/>
      <c r="AJ6" s="7"/>
      <c r="AK6" s="6"/>
      <c r="AL6" s="6"/>
      <c r="AM6" s="7"/>
      <c r="AN6" s="6"/>
      <c r="AO6" s="6"/>
      <c r="AP6" s="7"/>
      <c r="AQ6" s="6"/>
      <c r="AR6" s="6"/>
      <c r="AS6" s="7"/>
      <c r="AT6" s="6"/>
      <c r="AU6" s="6"/>
      <c r="AV6" s="7"/>
      <c r="AW6" s="6"/>
      <c r="AX6" s="6"/>
      <c r="AY6" s="7"/>
      <c r="AZ6" s="6"/>
      <c r="BA6" s="6"/>
      <c r="BB6" s="7"/>
      <c r="BC6" s="6"/>
      <c r="BD6" s="6"/>
      <c r="BE6" s="7"/>
      <c r="BF6" s="6"/>
      <c r="BG6" s="6"/>
      <c r="BH6" s="7"/>
      <c r="BI6" s="6"/>
      <c r="BJ6" s="6"/>
      <c r="BK6" s="7"/>
      <c r="BL6" s="6"/>
      <c r="BM6" s="6"/>
      <c r="BN6" s="7"/>
      <c r="BO6" s="6"/>
      <c r="BP6" s="6"/>
      <c r="BQ6" s="7"/>
      <c r="BR6" s="6"/>
      <c r="BS6" s="6"/>
      <c r="BT6" s="7"/>
      <c r="BU6" s="6"/>
      <c r="BV6" s="6"/>
      <c r="BW6" s="7"/>
      <c r="BX6" s="6"/>
      <c r="BY6" s="6"/>
      <c r="BZ6" s="7"/>
      <c r="CA6" s="6"/>
      <c r="CB6" s="6"/>
      <c r="CC6" s="7"/>
      <c r="CD6" s="6"/>
      <c r="CE6" s="6"/>
      <c r="CF6" s="7"/>
      <c r="CG6" s="6"/>
      <c r="CH6" s="6"/>
      <c r="CI6" s="7"/>
      <c r="CJ6" s="6"/>
      <c r="CK6" s="6"/>
      <c r="CL6" s="7"/>
      <c r="CM6" s="6"/>
      <c r="CN6" s="6"/>
      <c r="CO6" s="7"/>
      <c r="CP6" s="6"/>
      <c r="CQ6" s="6"/>
      <c r="CR6" s="7"/>
      <c r="CS6" s="6"/>
      <c r="CT6" s="6"/>
      <c r="CU6" s="7"/>
      <c r="CV6" s="6"/>
      <c r="CW6" s="6"/>
      <c r="CX6" s="1"/>
      <c r="CY6" s="1"/>
      <c r="CZ6" s="1"/>
      <c r="DA6" s="1"/>
      <c r="DB6" s="1"/>
      <c r="DC6" s="1"/>
      <c r="DD6" s="1"/>
      <c r="DE6" s="1"/>
      <c r="DF6" s="1"/>
    </row>
    <row r="7" ht="15" customHeight="1" spans="1:110" x14ac:dyDescent="0.25">
      <c r="A7" s="14" t="s">
        <v>5</v>
      </c>
      <c r="B7" s="15" t="s">
        <v>6</v>
      </c>
      <c r="C7" s="15" t="s">
        <v>7</v>
      </c>
      <c r="D7" s="15" t="s">
        <v>8</v>
      </c>
      <c r="E7" s="15" t="s">
        <v>9</v>
      </c>
      <c r="F7" s="15" t="s">
        <v>10</v>
      </c>
      <c r="G7" s="15" t="s">
        <v>11</v>
      </c>
      <c r="H7" s="15" t="s">
        <v>12</v>
      </c>
      <c r="I7" s="16" t="s">
        <v>13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8"/>
      <c r="CX7" s="1"/>
      <c r="CY7" s="1"/>
      <c r="CZ7" s="1"/>
      <c r="DA7" s="1"/>
      <c r="DB7" s="1"/>
      <c r="DC7" s="1"/>
      <c r="DD7" s="1"/>
      <c r="DE7" s="1"/>
      <c r="DF7" s="1"/>
    </row>
    <row r="8" ht="13.5" customHeight="1" spans="1:110" x14ac:dyDescent="0.25">
      <c r="A8" s="19"/>
      <c r="B8" s="19"/>
      <c r="C8" s="19"/>
      <c r="D8" s="19"/>
      <c r="E8" s="19"/>
      <c r="F8" s="19"/>
      <c r="G8" s="19"/>
      <c r="H8" s="19"/>
      <c r="I8" s="16">
        <v>1</v>
      </c>
      <c r="J8" s="17"/>
      <c r="K8" s="18"/>
      <c r="L8" s="16">
        <v>2</v>
      </c>
      <c r="M8" s="17"/>
      <c r="N8" s="18"/>
      <c r="O8" s="16">
        <v>3</v>
      </c>
      <c r="P8" s="17"/>
      <c r="Q8" s="18"/>
      <c r="R8" s="16">
        <v>4</v>
      </c>
      <c r="S8" s="17"/>
      <c r="T8" s="18"/>
      <c r="U8" s="16">
        <v>5</v>
      </c>
      <c r="V8" s="17"/>
      <c r="W8" s="18"/>
      <c r="X8" s="16">
        <v>6</v>
      </c>
      <c r="Y8" s="17"/>
      <c r="Z8" s="18"/>
      <c r="AA8" s="16">
        <v>7</v>
      </c>
      <c r="AB8" s="17"/>
      <c r="AC8" s="18"/>
      <c r="AD8" s="16">
        <v>8</v>
      </c>
      <c r="AE8" s="17"/>
      <c r="AF8" s="18"/>
      <c r="AG8" s="16">
        <v>9</v>
      </c>
      <c r="AH8" s="17"/>
      <c r="AI8" s="18"/>
      <c r="AJ8" s="16">
        <v>10</v>
      </c>
      <c r="AK8" s="17"/>
      <c r="AL8" s="18"/>
      <c r="AM8" s="16">
        <v>11</v>
      </c>
      <c r="AN8" s="17"/>
      <c r="AO8" s="18"/>
      <c r="AP8" s="16">
        <v>12</v>
      </c>
      <c r="AQ8" s="17"/>
      <c r="AR8" s="18"/>
      <c r="AS8" s="16">
        <v>13</v>
      </c>
      <c r="AT8" s="17"/>
      <c r="AU8" s="18"/>
      <c r="AV8" s="16">
        <v>14</v>
      </c>
      <c r="AW8" s="17"/>
      <c r="AX8" s="18"/>
      <c r="AY8" s="16">
        <v>15</v>
      </c>
      <c r="AZ8" s="17"/>
      <c r="BA8" s="18"/>
      <c r="BB8" s="16">
        <v>16</v>
      </c>
      <c r="BC8" s="17"/>
      <c r="BD8" s="18"/>
      <c r="BE8" s="16">
        <v>17</v>
      </c>
      <c r="BF8" s="17"/>
      <c r="BG8" s="18"/>
      <c r="BH8" s="16">
        <v>18</v>
      </c>
      <c r="BI8" s="17"/>
      <c r="BJ8" s="18"/>
      <c r="BK8" s="16">
        <v>19</v>
      </c>
      <c r="BL8" s="17"/>
      <c r="BM8" s="18"/>
      <c r="BN8" s="16">
        <v>20</v>
      </c>
      <c r="BO8" s="17"/>
      <c r="BP8" s="18"/>
      <c r="BQ8" s="16">
        <v>21</v>
      </c>
      <c r="BR8" s="17"/>
      <c r="BS8" s="18"/>
      <c r="BT8" s="16">
        <v>22</v>
      </c>
      <c r="BU8" s="17"/>
      <c r="BV8" s="18"/>
      <c r="BW8" s="16">
        <v>23</v>
      </c>
      <c r="BX8" s="17"/>
      <c r="BY8" s="18"/>
      <c r="BZ8" s="16">
        <v>24</v>
      </c>
      <c r="CA8" s="17"/>
      <c r="CB8" s="18"/>
      <c r="CC8" s="16">
        <v>25</v>
      </c>
      <c r="CD8" s="17"/>
      <c r="CE8" s="18"/>
      <c r="CF8" s="16">
        <v>26</v>
      </c>
      <c r="CG8" s="17"/>
      <c r="CH8" s="18"/>
      <c r="CI8" s="16">
        <v>27</v>
      </c>
      <c r="CJ8" s="17"/>
      <c r="CK8" s="18"/>
      <c r="CL8" s="16">
        <v>28</v>
      </c>
      <c r="CM8" s="17"/>
      <c r="CN8" s="18"/>
      <c r="CO8" s="16">
        <v>29</v>
      </c>
      <c r="CP8" s="17"/>
      <c r="CQ8" s="18"/>
      <c r="CR8" s="16">
        <v>30</v>
      </c>
      <c r="CS8" s="17"/>
      <c r="CT8" s="18"/>
      <c r="CU8" s="16">
        <v>31</v>
      </c>
      <c r="CV8" s="17"/>
      <c r="CW8" s="18"/>
      <c r="CX8" s="20" t="s">
        <v>14</v>
      </c>
      <c r="CY8" s="18"/>
      <c r="CZ8" s="21" t="s">
        <v>14</v>
      </c>
      <c r="DA8" s="18"/>
      <c r="DB8" s="22"/>
      <c r="DC8" s="1"/>
      <c r="DD8" s="1"/>
      <c r="DE8" s="1"/>
      <c r="DF8" s="1"/>
    </row>
    <row r="9" ht="69" customHeight="1" spans="1:110" x14ac:dyDescent="0.25">
      <c r="A9" s="23"/>
      <c r="B9" s="23"/>
      <c r="C9" s="23"/>
      <c r="D9" s="23"/>
      <c r="E9" s="23"/>
      <c r="F9" s="23"/>
      <c r="G9" s="23"/>
      <c r="H9" s="23"/>
      <c r="I9" s="24" t="s">
        <v>15</v>
      </c>
      <c r="J9" s="25" t="s">
        <v>16</v>
      </c>
      <c r="K9" s="26" t="s">
        <v>17</v>
      </c>
      <c r="L9" s="24" t="s">
        <v>15</v>
      </c>
      <c r="M9" s="25" t="s">
        <v>16</v>
      </c>
      <c r="N9" s="26" t="s">
        <v>17</v>
      </c>
      <c r="O9" s="24" t="s">
        <v>15</v>
      </c>
      <c r="P9" s="25" t="s">
        <v>16</v>
      </c>
      <c r="Q9" s="26" t="s">
        <v>17</v>
      </c>
      <c r="R9" s="24" t="s">
        <v>15</v>
      </c>
      <c r="S9" s="25" t="s">
        <v>16</v>
      </c>
      <c r="T9" s="26" t="s">
        <v>17</v>
      </c>
      <c r="U9" s="24" t="s">
        <v>15</v>
      </c>
      <c r="V9" s="25" t="s">
        <v>16</v>
      </c>
      <c r="W9" s="26" t="s">
        <v>17</v>
      </c>
      <c r="X9" s="24" t="s">
        <v>15</v>
      </c>
      <c r="Y9" s="25" t="s">
        <v>16</v>
      </c>
      <c r="Z9" s="26" t="s">
        <v>17</v>
      </c>
      <c r="AA9" s="24" t="s">
        <v>15</v>
      </c>
      <c r="AB9" s="25" t="s">
        <v>16</v>
      </c>
      <c r="AC9" s="26" t="s">
        <v>17</v>
      </c>
      <c r="AD9" s="24" t="s">
        <v>15</v>
      </c>
      <c r="AE9" s="25" t="s">
        <v>16</v>
      </c>
      <c r="AF9" s="26" t="s">
        <v>17</v>
      </c>
      <c r="AG9" s="24" t="s">
        <v>15</v>
      </c>
      <c r="AH9" s="25" t="s">
        <v>16</v>
      </c>
      <c r="AI9" s="26" t="s">
        <v>17</v>
      </c>
      <c r="AJ9" s="24" t="s">
        <v>15</v>
      </c>
      <c r="AK9" s="25" t="s">
        <v>16</v>
      </c>
      <c r="AL9" s="26" t="s">
        <v>17</v>
      </c>
      <c r="AM9" s="24" t="s">
        <v>15</v>
      </c>
      <c r="AN9" s="25" t="s">
        <v>16</v>
      </c>
      <c r="AO9" s="26" t="s">
        <v>17</v>
      </c>
      <c r="AP9" s="24" t="s">
        <v>15</v>
      </c>
      <c r="AQ9" s="25" t="s">
        <v>16</v>
      </c>
      <c r="AR9" s="26" t="s">
        <v>17</v>
      </c>
      <c r="AS9" s="24" t="s">
        <v>15</v>
      </c>
      <c r="AT9" s="25" t="s">
        <v>16</v>
      </c>
      <c r="AU9" s="26" t="s">
        <v>17</v>
      </c>
      <c r="AV9" s="24" t="s">
        <v>15</v>
      </c>
      <c r="AW9" s="25" t="s">
        <v>16</v>
      </c>
      <c r="AX9" s="26" t="s">
        <v>17</v>
      </c>
      <c r="AY9" s="24" t="s">
        <v>15</v>
      </c>
      <c r="AZ9" s="25" t="s">
        <v>16</v>
      </c>
      <c r="BA9" s="26" t="s">
        <v>17</v>
      </c>
      <c r="BB9" s="24" t="s">
        <v>15</v>
      </c>
      <c r="BC9" s="25" t="s">
        <v>16</v>
      </c>
      <c r="BD9" s="26" t="s">
        <v>17</v>
      </c>
      <c r="BE9" s="24" t="s">
        <v>15</v>
      </c>
      <c r="BF9" s="25" t="s">
        <v>16</v>
      </c>
      <c r="BG9" s="26" t="s">
        <v>17</v>
      </c>
      <c r="BH9" s="24" t="s">
        <v>15</v>
      </c>
      <c r="BI9" s="25" t="s">
        <v>16</v>
      </c>
      <c r="BJ9" s="26" t="s">
        <v>17</v>
      </c>
      <c r="BK9" s="24" t="s">
        <v>15</v>
      </c>
      <c r="BL9" s="25" t="s">
        <v>16</v>
      </c>
      <c r="BM9" s="26" t="s">
        <v>17</v>
      </c>
      <c r="BN9" s="24" t="s">
        <v>15</v>
      </c>
      <c r="BO9" s="25" t="s">
        <v>16</v>
      </c>
      <c r="BP9" s="26" t="s">
        <v>17</v>
      </c>
      <c r="BQ9" s="24" t="s">
        <v>15</v>
      </c>
      <c r="BR9" s="25" t="s">
        <v>16</v>
      </c>
      <c r="BS9" s="26" t="s">
        <v>17</v>
      </c>
      <c r="BT9" s="24" t="s">
        <v>15</v>
      </c>
      <c r="BU9" s="25" t="s">
        <v>16</v>
      </c>
      <c r="BV9" s="26" t="s">
        <v>17</v>
      </c>
      <c r="BW9" s="24" t="s">
        <v>15</v>
      </c>
      <c r="BX9" s="25" t="s">
        <v>16</v>
      </c>
      <c r="BY9" s="26" t="s">
        <v>17</v>
      </c>
      <c r="BZ9" s="24" t="s">
        <v>15</v>
      </c>
      <c r="CA9" s="25" t="s">
        <v>16</v>
      </c>
      <c r="CB9" s="26" t="s">
        <v>17</v>
      </c>
      <c r="CC9" s="24" t="s">
        <v>15</v>
      </c>
      <c r="CD9" s="25" t="s">
        <v>16</v>
      </c>
      <c r="CE9" s="26" t="s">
        <v>17</v>
      </c>
      <c r="CF9" s="24" t="s">
        <v>15</v>
      </c>
      <c r="CG9" s="25" t="s">
        <v>16</v>
      </c>
      <c r="CH9" s="26" t="s">
        <v>17</v>
      </c>
      <c r="CI9" s="24" t="s">
        <v>15</v>
      </c>
      <c r="CJ9" s="25" t="s">
        <v>16</v>
      </c>
      <c r="CK9" s="26" t="s">
        <v>17</v>
      </c>
      <c r="CL9" s="24" t="s">
        <v>15</v>
      </c>
      <c r="CM9" s="25" t="s">
        <v>16</v>
      </c>
      <c r="CN9" s="26" t="s">
        <v>17</v>
      </c>
      <c r="CO9" s="24" t="s">
        <v>15</v>
      </c>
      <c r="CP9" s="25" t="s">
        <v>16</v>
      </c>
      <c r="CQ9" s="26" t="s">
        <v>17</v>
      </c>
      <c r="CR9" s="24" t="s">
        <v>15</v>
      </c>
      <c r="CS9" s="25" t="s">
        <v>16</v>
      </c>
      <c r="CT9" s="26" t="s">
        <v>17</v>
      </c>
      <c r="CU9" s="24" t="s">
        <v>15</v>
      </c>
      <c r="CV9" s="25" t="s">
        <v>16</v>
      </c>
      <c r="CW9" s="26" t="s">
        <v>17</v>
      </c>
      <c r="CX9" s="27" t="s">
        <v>18</v>
      </c>
      <c r="CY9" s="28" t="s">
        <v>16</v>
      </c>
      <c r="CZ9" s="28" t="s">
        <v>19</v>
      </c>
      <c r="DA9" s="28" t="s">
        <v>20</v>
      </c>
      <c r="DB9" s="29" t="s">
        <v>21</v>
      </c>
      <c r="DC9" s="29" t="s">
        <v>22</v>
      </c>
      <c r="DD9" s="28" t="s">
        <v>23</v>
      </c>
      <c r="DE9" s="28" t="s">
        <v>24</v>
      </c>
      <c r="DF9" s="30"/>
    </row>
    <row r="10" ht="14.25" customHeight="1" spans="1:112" x14ac:dyDescent="0.25">
      <c r="A10" s="31"/>
      <c r="B10" s="31" t="s">
        <v>25</v>
      </c>
      <c r="C10" s="31" t="s">
        <v>25</v>
      </c>
      <c r="D10" s="31" t="s">
        <v>25</v>
      </c>
      <c r="E10" s="31" t="s">
        <v>25</v>
      </c>
      <c r="F10" s="31" t="s">
        <v>25</v>
      </c>
      <c r="G10" s="31"/>
      <c r="H10" s="31" t="s">
        <v>25</v>
      </c>
      <c r="I10" s="32"/>
      <c r="J10" s="32"/>
      <c r="K10" s="32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2"/>
      <c r="BJ10" s="32"/>
      <c r="BK10" s="34"/>
      <c r="BL10" s="34"/>
      <c r="BM10" s="34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4"/>
      <c r="CD10" s="34"/>
      <c r="CE10" s="34"/>
      <c r="CF10" s="33"/>
      <c r="CG10" s="33"/>
      <c r="CH10" s="33"/>
      <c r="CI10" s="33"/>
      <c r="CJ10" s="33"/>
      <c r="CK10" s="33"/>
      <c r="CL10" s="33"/>
      <c r="CM10" s="32"/>
      <c r="CN10" s="32"/>
      <c r="CO10" s="32"/>
      <c r="CP10" s="32"/>
      <c r="CQ10" s="32"/>
      <c r="CR10" s="32"/>
      <c r="CS10" s="35"/>
      <c r="CT10" s="35"/>
      <c r="CU10" s="32"/>
      <c r="CV10" s="32"/>
      <c r="CW10" s="32"/>
      <c r="CX10" s="36">
        <f>SUMIF($I$9:$AZ$9,$CR$9,$I10:$AZ10)</f>
      </c>
      <c r="CY10" s="36">
        <f>SUMIF($I$9:$AZ$9,$CV$9,$I10:$AZ10)</f>
      </c>
      <c r="CZ10" s="36">
        <f>SUMIF($BB$9:$CV$9,$CU$9,$BB10:$CV10)</f>
      </c>
      <c r="DA10" s="37">
        <f>SUMIF($BB$9:$CV$9,$CV$9,$BB10:$CV10)</f>
      </c>
      <c r="DB10" s="38">
        <f>CX10*$DB$8</f>
      </c>
      <c r="DC10" s="38">
        <f>CZ10*$DB$8</f>
      </c>
      <c r="DD10" s="38">
        <f>DB10+DC10</f>
      </c>
      <c r="DE10" s="37">
        <f>CY10+DA10</f>
      </c>
      <c r="DF10" s="39">
        <f>IF(AND(G10&gt;0,DE10&gt;0),ROUND(DD10*1000/(G10*DE10),1),"")</f>
      </c>
    </row>
    <row r="11" spans="1:112" x14ac:dyDescent="0.25"/>
    <row r="12" spans="1:112" x14ac:dyDescent="0.25"/>
    <row r="13" spans="1:112" x14ac:dyDescent="0.25"/>
    <row r="14" spans="1:112" x14ac:dyDescent="0.25"/>
    <row r="15" spans="1:112" x14ac:dyDescent="0.25"/>
    <row r="16" spans="1:112" x14ac:dyDescent="0.25"/>
    <row r="17" spans="1:112" x14ac:dyDescent="0.25"/>
    <row r="18" spans="1:112" x14ac:dyDescent="0.25"/>
    <row r="19" spans="1:112" x14ac:dyDescent="0.25"/>
    <row r="20" spans="1:112" x14ac:dyDescent="0.25"/>
    <row r="21" spans="1:112" x14ac:dyDescent="0.25"/>
    <row r="22" spans="1:112" x14ac:dyDescent="0.25"/>
    <row r="23" spans="1:112" x14ac:dyDescent="0.25"/>
    <row r="24" spans="1:112" x14ac:dyDescent="0.25"/>
    <row r="25" spans="1:112" x14ac:dyDescent="0.25"/>
    <row r="26" spans="1:112" x14ac:dyDescent="0.25"/>
    <row r="27" spans="1:112" x14ac:dyDescent="0.25"/>
    <row r="28" spans="1:112" x14ac:dyDescent="0.25"/>
    <row r="29" spans="1:112" x14ac:dyDescent="0.25"/>
    <row r="30" spans="1:112" x14ac:dyDescent="0.25"/>
    <row r="31" spans="1:112" x14ac:dyDescent="0.25"/>
    <row r="32" spans="1:112" x14ac:dyDescent="0.25"/>
    <row r="33" spans="1:112" x14ac:dyDescent="0.25"/>
    <row r="34" spans="1:112" x14ac:dyDescent="0.25"/>
    <row r="35" spans="1:112" x14ac:dyDescent="0.25"/>
    <row r="36" spans="1:112" x14ac:dyDescent="0.25"/>
    <row r="37" spans="1:112" x14ac:dyDescent="0.25"/>
    <row r="38" spans="1:112" x14ac:dyDescent="0.25"/>
    <row r="39" spans="1:112" x14ac:dyDescent="0.25"/>
    <row r="40" spans="1:112" x14ac:dyDescent="0.25"/>
    <row r="41" spans="1:112" x14ac:dyDescent="0.25"/>
    <row r="42" spans="1:112" x14ac:dyDescent="0.25"/>
    <row r="43" spans="1:112" x14ac:dyDescent="0.25"/>
    <row r="44" spans="1:112" x14ac:dyDescent="0.25"/>
    <row r="45" spans="1:112" x14ac:dyDescent="0.25"/>
    <row r="46" spans="1:112" x14ac:dyDescent="0.25"/>
    <row r="47" spans="1:112" x14ac:dyDescent="0.25"/>
    <row r="48" spans="1:112" x14ac:dyDescent="0.25"/>
    <row r="49" spans="1:112" x14ac:dyDescent="0.25"/>
    <row r="50" spans="1:112" x14ac:dyDescent="0.25"/>
    <row r="51" spans="1:112" x14ac:dyDescent="0.25"/>
    <row r="52" spans="1:112" x14ac:dyDescent="0.25"/>
    <row r="53" spans="1:112" x14ac:dyDescent="0.25"/>
    <row r="54" spans="1:112" x14ac:dyDescent="0.25"/>
    <row r="55" spans="1:112" x14ac:dyDescent="0.25"/>
    <row r="56" spans="1:112" x14ac:dyDescent="0.25"/>
    <row r="57" spans="1:112" x14ac:dyDescent="0.25"/>
    <row r="58" spans="1:112" x14ac:dyDescent="0.25"/>
    <row r="59" spans="1:112" x14ac:dyDescent="0.25"/>
    <row r="60" spans="1:112" x14ac:dyDescent="0.25"/>
    <row r="61" spans="1:112" x14ac:dyDescent="0.25"/>
    <row r="62" spans="1:112" x14ac:dyDescent="0.25"/>
    <row r="63" spans="1:112" x14ac:dyDescent="0.25"/>
    <row r="64" spans="1:112" x14ac:dyDescent="0.25"/>
    <row r="65" spans="1:112" x14ac:dyDescent="0.25"/>
    <row r="66" spans="1:112" x14ac:dyDescent="0.25"/>
    <row r="67" spans="1:112" x14ac:dyDescent="0.25"/>
    <row r="68" spans="1:112" x14ac:dyDescent="0.25"/>
    <row r="69" spans="1:112" x14ac:dyDescent="0.25"/>
    <row r="70" spans="1:112" x14ac:dyDescent="0.25"/>
    <row r="71" spans="1:112" x14ac:dyDescent="0.25"/>
    <row r="72" spans="1:112" x14ac:dyDescent="0.25"/>
    <row r="73" spans="1:112" x14ac:dyDescent="0.25"/>
    <row r="74" spans="1:112" x14ac:dyDescent="0.25"/>
    <row r="75" spans="1:112" x14ac:dyDescent="0.25"/>
    <row r="76" spans="1:112" x14ac:dyDescent="0.25"/>
    <row r="77" spans="1:112" x14ac:dyDescent="0.25"/>
    <row r="78" spans="1:112" x14ac:dyDescent="0.25"/>
    <row r="79" spans="1:112" x14ac:dyDescent="0.25"/>
    <row r="80" spans="1:112" x14ac:dyDescent="0.25"/>
    <row r="81" spans="1:112" x14ac:dyDescent="0.25"/>
    <row r="82" spans="1:112" x14ac:dyDescent="0.25"/>
    <row r="83" spans="1:112" x14ac:dyDescent="0.25"/>
    <row r="84" spans="1:112" x14ac:dyDescent="0.25"/>
    <row r="85" spans="1:112" x14ac:dyDescent="0.25"/>
    <row r="86" spans="1:112" x14ac:dyDescent="0.25"/>
    <row r="87" spans="1:112" x14ac:dyDescent="0.25"/>
    <row r="88" spans="1:112" x14ac:dyDescent="0.25"/>
    <row r="89" spans="1:112" x14ac:dyDescent="0.25"/>
    <row r="90" spans="1:112" x14ac:dyDescent="0.25"/>
    <row r="91" spans="1:112" x14ac:dyDescent="0.25"/>
    <row r="92" spans="1:112" x14ac:dyDescent="0.25"/>
    <row r="93" spans="1:112" x14ac:dyDescent="0.25"/>
    <row r="94" spans="1:112" x14ac:dyDescent="0.25"/>
    <row r="95" spans="1:112" x14ac:dyDescent="0.25"/>
    <row r="96" spans="1:112" x14ac:dyDescent="0.25"/>
    <row r="97" spans="1:112" x14ac:dyDescent="0.25"/>
    <row r="98" spans="1:112" x14ac:dyDescent="0.25"/>
    <row r="99" spans="1:112" x14ac:dyDescent="0.25"/>
    <row r="100" spans="1:112" x14ac:dyDescent="0.25"/>
    <row r="101" spans="1:112" x14ac:dyDescent="0.25"/>
    <row r="102" spans="1:112" x14ac:dyDescent="0.25"/>
    <row r="103" spans="1:112" x14ac:dyDescent="0.25"/>
    <row r="104" spans="1:112" x14ac:dyDescent="0.25"/>
    <row r="105" spans="1:112" x14ac:dyDescent="0.25"/>
    <row r="106" spans="1:112" x14ac:dyDescent="0.25"/>
    <row r="107" spans="1:112" x14ac:dyDescent="0.25"/>
    <row r="108" spans="1:112" x14ac:dyDescent="0.25"/>
    <row r="109" spans="1:112" x14ac:dyDescent="0.25"/>
    <row r="110" spans="1:112" x14ac:dyDescent="0.25"/>
    <row r="111" spans="1:112" x14ac:dyDescent="0.25"/>
    <row r="112" spans="1:112" x14ac:dyDescent="0.25"/>
    <row r="113" spans="1:112" x14ac:dyDescent="0.25"/>
    <row r="114" spans="1:112" x14ac:dyDescent="0.25"/>
    <row r="115" spans="1:112" x14ac:dyDescent="0.25"/>
    <row r="116" spans="1:112" x14ac:dyDescent="0.25"/>
    <row r="117" spans="1:112" x14ac:dyDescent="0.25"/>
    <row r="118" spans="1:112" x14ac:dyDescent="0.25"/>
    <row r="119" spans="1:112" x14ac:dyDescent="0.25"/>
    <row r="120" spans="1:112" x14ac:dyDescent="0.25"/>
    <row r="121" spans="1:112" x14ac:dyDescent="0.25"/>
    <row r="122" spans="1:112" x14ac:dyDescent="0.25"/>
    <row r="123" spans="1:112" x14ac:dyDescent="0.25"/>
    <row r="124" spans="1:112" x14ac:dyDescent="0.25"/>
    <row r="125" spans="1:112" x14ac:dyDescent="0.25"/>
    <row r="126" spans="1:112" x14ac:dyDescent="0.25"/>
    <row r="127" spans="1:112" x14ac:dyDescent="0.25"/>
    <row r="128" spans="1:112" x14ac:dyDescent="0.25"/>
    <row r="129" spans="1:112" x14ac:dyDescent="0.25"/>
    <row r="130" spans="1:112" x14ac:dyDescent="0.25"/>
    <row r="131" spans="1:112" x14ac:dyDescent="0.25"/>
    <row r="132" spans="1:112" x14ac:dyDescent="0.25"/>
    <row r="133" spans="1:112" x14ac:dyDescent="0.25"/>
    <row r="134" spans="1:112" x14ac:dyDescent="0.25"/>
    <row r="135" spans="1:112" x14ac:dyDescent="0.25"/>
    <row r="136" spans="1:112" x14ac:dyDescent="0.25"/>
    <row r="137" spans="1:112" x14ac:dyDescent="0.25"/>
    <row r="138" spans="1:112" x14ac:dyDescent="0.25"/>
    <row r="139" spans="1:112" x14ac:dyDescent="0.25"/>
    <row r="140" spans="1:112" x14ac:dyDescent="0.25"/>
    <row r="141" spans="1:112" x14ac:dyDescent="0.25"/>
    <row r="142" spans="1:112" x14ac:dyDescent="0.25"/>
    <row r="143" spans="1:112" x14ac:dyDescent="0.25"/>
    <row r="144" spans="1:112" x14ac:dyDescent="0.25"/>
    <row r="145" spans="1:112" x14ac:dyDescent="0.25"/>
    <row r="146" spans="1:112" x14ac:dyDescent="0.25"/>
    <row r="147" spans="1:112" x14ac:dyDescent="0.25"/>
    <row r="148" spans="1:112" x14ac:dyDescent="0.25"/>
    <row r="149" spans="1:112" x14ac:dyDescent="0.25"/>
    <row r="150" spans="1:112" x14ac:dyDescent="0.25"/>
    <row r="151" spans="1:112" x14ac:dyDescent="0.25"/>
    <row r="152" spans="1:112" x14ac:dyDescent="0.25"/>
    <row r="153" spans="1:112" x14ac:dyDescent="0.25"/>
    <row r="154" spans="1:112" x14ac:dyDescent="0.25"/>
    <row r="155" spans="1:112" x14ac:dyDescent="0.25"/>
    <row r="156" spans="1:112" x14ac:dyDescent="0.25"/>
    <row r="157" spans="1:112" x14ac:dyDescent="0.25"/>
    <row r="158" spans="1:112" x14ac:dyDescent="0.25"/>
    <row r="159" spans="1:112" x14ac:dyDescent="0.25"/>
    <row r="160" spans="1:112" x14ac:dyDescent="0.25"/>
    <row r="161" spans="1:112" x14ac:dyDescent="0.25"/>
    <row r="162" spans="1:112" x14ac:dyDescent="0.25"/>
    <row r="163" spans="1:112" x14ac:dyDescent="0.25"/>
    <row r="164" spans="1:112" x14ac:dyDescent="0.25"/>
    <row r="165" spans="1:112" x14ac:dyDescent="0.25"/>
    <row r="166" spans="1:112" x14ac:dyDescent="0.25"/>
    <row r="167" spans="1:112" x14ac:dyDescent="0.25"/>
    <row r="168" spans="1:112" x14ac:dyDescent="0.25"/>
    <row r="169" spans="1:112" x14ac:dyDescent="0.25"/>
    <row r="170" spans="1:112" x14ac:dyDescent="0.25"/>
    <row r="171" spans="1:112" x14ac:dyDescent="0.25"/>
    <row r="172" spans="1:112" x14ac:dyDescent="0.25"/>
    <row r="173" spans="1:112" x14ac:dyDescent="0.25"/>
    <row r="174" spans="1:112" x14ac:dyDescent="0.25"/>
    <row r="175" spans="1:112" x14ac:dyDescent="0.25"/>
    <row r="176" spans="1:112" x14ac:dyDescent="0.25"/>
    <row r="177" spans="1:112" x14ac:dyDescent="0.25"/>
    <row r="178" spans="1:112" x14ac:dyDescent="0.25"/>
    <row r="179" spans="1:112" x14ac:dyDescent="0.25"/>
    <row r="180" spans="1:112" x14ac:dyDescent="0.25"/>
    <row r="181" spans="1:112" x14ac:dyDescent="0.25"/>
    <row r="182" spans="1:112" x14ac:dyDescent="0.25"/>
    <row r="183" spans="1:112" x14ac:dyDescent="0.25"/>
    <row r="184" spans="1:112" x14ac:dyDescent="0.25"/>
    <row r="185" spans="1:112" x14ac:dyDescent="0.25"/>
    <row r="186" spans="1:112" x14ac:dyDescent="0.25"/>
    <row r="187" spans="1:112" x14ac:dyDescent="0.25"/>
    <row r="188" spans="1:112" x14ac:dyDescent="0.25"/>
    <row r="189" spans="1:112" x14ac:dyDescent="0.25"/>
    <row r="190" spans="1:112" x14ac:dyDescent="0.25"/>
    <row r="191" spans="1:112" x14ac:dyDescent="0.25"/>
    <row r="192" spans="1:112" x14ac:dyDescent="0.25"/>
    <row r="193" spans="1:112" x14ac:dyDescent="0.25"/>
    <row r="194" spans="1:112" x14ac:dyDescent="0.25"/>
    <row r="195" spans="1:112" x14ac:dyDescent="0.25"/>
    <row r="196" spans="1:112" x14ac:dyDescent="0.25"/>
    <row r="197" spans="1:112" x14ac:dyDescent="0.25"/>
    <row r="198" spans="1:112" x14ac:dyDescent="0.25"/>
    <row r="199" spans="1:112" x14ac:dyDescent="0.25"/>
    <row r="200" spans="1:112" x14ac:dyDescent="0.25"/>
    <row r="201" spans="1:112" x14ac:dyDescent="0.25"/>
    <row r="202" spans="1:112" x14ac:dyDescent="0.25"/>
    <row r="203" spans="1:112" x14ac:dyDescent="0.25"/>
    <row r="204" spans="1:112" x14ac:dyDescent="0.25"/>
    <row r="205" spans="1:112" x14ac:dyDescent="0.25"/>
    <row r="206" spans="1:112" x14ac:dyDescent="0.25"/>
    <row r="207" spans="1:112" x14ac:dyDescent="0.25"/>
    <row r="208" spans="1:112" x14ac:dyDescent="0.25"/>
    <row r="209" spans="1:112" x14ac:dyDescent="0.25"/>
    <row r="210" spans="1:112" x14ac:dyDescent="0.25"/>
    <row r="211" spans="1:112" x14ac:dyDescent="0.25"/>
    <row r="212" spans="1:112" x14ac:dyDescent="0.25"/>
    <row r="213" spans="1:112" x14ac:dyDescent="0.25"/>
    <row r="214" spans="1:112" x14ac:dyDescent="0.25"/>
    <row r="215" spans="1:112" x14ac:dyDescent="0.25"/>
    <row r="216" spans="1:112" x14ac:dyDescent="0.25"/>
    <row r="217" spans="1:112" x14ac:dyDescent="0.25"/>
    <row r="218" spans="1:112" x14ac:dyDescent="0.25"/>
    <row r="219" spans="1:112" x14ac:dyDescent="0.25"/>
    <row r="220" spans="1:112" x14ac:dyDescent="0.25"/>
    <row r="221" spans="1:112" x14ac:dyDescent="0.25"/>
    <row r="222" spans="1:112" x14ac:dyDescent="0.25"/>
    <row r="223" spans="1:112" x14ac:dyDescent="0.25"/>
    <row r="224" spans="1:112" x14ac:dyDescent="0.25"/>
    <row r="225" spans="1:112" x14ac:dyDescent="0.25"/>
    <row r="226" spans="1:112" x14ac:dyDescent="0.25"/>
    <row r="227" spans="1:112" x14ac:dyDescent="0.25"/>
    <row r="228" spans="1:112" x14ac:dyDescent="0.25"/>
    <row r="229" spans="1:112" x14ac:dyDescent="0.25"/>
    <row r="230" spans="1:112" x14ac:dyDescent="0.25"/>
    <row r="231" spans="1:112" x14ac:dyDescent="0.25"/>
    <row r="232" spans="1:112" x14ac:dyDescent="0.25"/>
    <row r="233" spans="1:112" x14ac:dyDescent="0.25"/>
    <row r="234" spans="1:112" x14ac:dyDescent="0.25"/>
    <row r="235" spans="1:112" x14ac:dyDescent="0.25"/>
    <row r="236" spans="1:112" x14ac:dyDescent="0.25"/>
    <row r="237" spans="1:112" x14ac:dyDescent="0.25"/>
    <row r="238" spans="1:112" x14ac:dyDescent="0.25"/>
    <row r="239" spans="1:112" x14ac:dyDescent="0.25"/>
    <row r="240" spans="1:112" x14ac:dyDescent="0.25"/>
    <row r="241" spans="1:112" x14ac:dyDescent="0.25"/>
    <row r="242" spans="1:112" x14ac:dyDescent="0.25"/>
    <row r="243" spans="1:112" x14ac:dyDescent="0.25"/>
    <row r="244" spans="1:112" x14ac:dyDescent="0.25"/>
    <row r="245" spans="1:112" x14ac:dyDescent="0.25"/>
    <row r="246" spans="1:112" x14ac:dyDescent="0.25"/>
    <row r="247" spans="1:112" x14ac:dyDescent="0.25"/>
    <row r="248" spans="1:112" x14ac:dyDescent="0.25"/>
    <row r="249" spans="1:112" x14ac:dyDescent="0.25"/>
    <row r="250" spans="1:112" x14ac:dyDescent="0.25"/>
    <row r="251" spans="1:112" x14ac:dyDescent="0.25"/>
    <row r="252" spans="1:112" x14ac:dyDescent="0.25"/>
    <row r="253" spans="1:112" x14ac:dyDescent="0.25"/>
    <row r="254" spans="1:112" x14ac:dyDescent="0.25"/>
    <row r="255" spans="1:112" x14ac:dyDescent="0.25"/>
    <row r="256" spans="1:112" x14ac:dyDescent="0.25"/>
    <row r="257" spans="1:112" x14ac:dyDescent="0.25"/>
    <row r="258" spans="1:112" x14ac:dyDescent="0.25"/>
    <row r="259" spans="1:112" x14ac:dyDescent="0.25"/>
    <row r="260" spans="1:112" x14ac:dyDescent="0.25"/>
    <row r="261" spans="1:112" x14ac:dyDescent="0.25"/>
    <row r="262" spans="1:112" x14ac:dyDescent="0.25"/>
    <row r="263" spans="1:112" x14ac:dyDescent="0.25"/>
    <row r="264" spans="1:112" x14ac:dyDescent="0.25"/>
    <row r="265" spans="1:112" x14ac:dyDescent="0.25"/>
    <row r="266" spans="1:112" x14ac:dyDescent="0.25"/>
    <row r="267" spans="1:112" x14ac:dyDescent="0.25"/>
    <row r="268" spans="1:112" x14ac:dyDescent="0.25"/>
    <row r="269" spans="1:112" x14ac:dyDescent="0.25"/>
    <row r="270" spans="1:112" x14ac:dyDescent="0.25"/>
    <row r="271" spans="1:112" x14ac:dyDescent="0.25"/>
    <row r="272" spans="1:112" x14ac:dyDescent="0.25"/>
    <row r="273" spans="1:112" x14ac:dyDescent="0.25"/>
    <row r="274" spans="1:112" x14ac:dyDescent="0.25"/>
    <row r="275" spans="1:112" x14ac:dyDescent="0.25"/>
    <row r="276" spans="1:112" x14ac:dyDescent="0.25"/>
    <row r="277" spans="1:112" x14ac:dyDescent="0.25"/>
    <row r="278" spans="1:112" x14ac:dyDescent="0.25"/>
    <row r="279" spans="1:112" x14ac:dyDescent="0.25"/>
    <row r="280" spans="1:112" x14ac:dyDescent="0.25"/>
    <row r="281" spans="1:112" x14ac:dyDescent="0.25"/>
    <row r="282" spans="1:112" x14ac:dyDescent="0.25"/>
    <row r="283" spans="1:112" x14ac:dyDescent="0.25"/>
    <row r="284" spans="1:112" x14ac:dyDescent="0.25"/>
    <row r="285" spans="1:112" x14ac:dyDescent="0.25"/>
    <row r="286" spans="1:112" x14ac:dyDescent="0.25"/>
    <row r="287" spans="1:112" x14ac:dyDescent="0.25"/>
    <row r="288" spans="1:112" x14ac:dyDescent="0.25"/>
    <row r="289" spans="1:112" x14ac:dyDescent="0.25"/>
    <row r="290" spans="1:112" x14ac:dyDescent="0.25"/>
    <row r="291" spans="1:112" x14ac:dyDescent="0.25"/>
    <row r="292" spans="1:112" x14ac:dyDescent="0.25"/>
    <row r="293" spans="1:112" x14ac:dyDescent="0.25"/>
    <row r="294" spans="1:112" x14ac:dyDescent="0.25"/>
    <row r="295" spans="1:112" x14ac:dyDescent="0.25"/>
    <row r="296" spans="1:112" x14ac:dyDescent="0.25"/>
    <row r="297" spans="1:112" x14ac:dyDescent="0.25"/>
    <row r="298" spans="1:112" x14ac:dyDescent="0.25"/>
    <row r="299" spans="1:112" x14ac:dyDescent="0.25"/>
    <row r="300" spans="1:112" x14ac:dyDescent="0.25"/>
    <row r="301" spans="1:112" x14ac:dyDescent="0.25"/>
    <row r="302" spans="1:112" x14ac:dyDescent="0.25"/>
    <row r="303" spans="1:112" x14ac:dyDescent="0.25"/>
    <row r="304" spans="1:112" x14ac:dyDescent="0.25"/>
    <row r="305" spans="1:112" x14ac:dyDescent="0.25"/>
    <row r="306" spans="1:112" x14ac:dyDescent="0.25"/>
    <row r="307" spans="1:112" x14ac:dyDescent="0.25"/>
    <row r="308" spans="1:112" x14ac:dyDescent="0.25"/>
    <row r="309" spans="1:112" x14ac:dyDescent="0.25"/>
    <row r="310" spans="1:112" x14ac:dyDescent="0.25"/>
    <row r="311" spans="1:112" x14ac:dyDescent="0.25"/>
    <row r="312" spans="1:112" x14ac:dyDescent="0.25"/>
    <row r="313" spans="1:112" x14ac:dyDescent="0.25"/>
    <row r="314" spans="1:112" x14ac:dyDescent="0.25"/>
    <row r="315" spans="1:112" x14ac:dyDescent="0.25"/>
    <row r="316" spans="1:112" x14ac:dyDescent="0.25"/>
    <row r="317" spans="1:112" x14ac:dyDescent="0.25"/>
    <row r="318" spans="1:112" x14ac:dyDescent="0.25"/>
    <row r="319" spans="1:112" x14ac:dyDescent="0.25"/>
    <row r="320" spans="1:112" x14ac:dyDescent="0.25"/>
    <row r="321" spans="1:112" x14ac:dyDescent="0.25"/>
    <row r="322" spans="1:112" x14ac:dyDescent="0.25"/>
    <row r="323" spans="1:112" x14ac:dyDescent="0.25"/>
    <row r="324" spans="1:112" x14ac:dyDescent="0.25"/>
    <row r="325" spans="1:112" x14ac:dyDescent="0.25"/>
    <row r="326" spans="1:112" x14ac:dyDescent="0.25"/>
    <row r="327" spans="1:112" x14ac:dyDescent="0.25"/>
    <row r="328" spans="1:112" x14ac:dyDescent="0.25"/>
    <row r="329" spans="1:112" x14ac:dyDescent="0.25"/>
    <row r="330" spans="1:112" x14ac:dyDescent="0.25"/>
    <row r="331" spans="1:112" x14ac:dyDescent="0.25"/>
    <row r="332" spans="1:112" x14ac:dyDescent="0.25"/>
    <row r="333" hidden="1" spans="1:112" x14ac:dyDescent="0.25"/>
    <row r="334" hidden="1" spans="1:112" x14ac:dyDescent="0.25"/>
    <row r="335" spans="1:112" x14ac:dyDescent="0.25"/>
    <row r="336" spans="1:112" x14ac:dyDescent="0.25"/>
    <row r="337" spans="1:112" x14ac:dyDescent="0.25"/>
    <row r="338" spans="1:112" x14ac:dyDescent="0.25"/>
    <row r="339" spans="1:112" x14ac:dyDescent="0.25"/>
    <row r="340" spans="1:112" x14ac:dyDescent="0.25"/>
    <row r="341" spans="1:112" x14ac:dyDescent="0.25"/>
    <row r="342" spans="1:112" x14ac:dyDescent="0.25"/>
    <row r="343" spans="1:112" x14ac:dyDescent="0.25"/>
    <row r="344" spans="1:112" x14ac:dyDescent="0.25"/>
    <row r="345" spans="1:112" x14ac:dyDescent="0.25"/>
    <row r="346" spans="1:112" x14ac:dyDescent="0.25"/>
    <row r="347" spans="1:112" x14ac:dyDescent="0.25"/>
    <row r="348" spans="1:112" x14ac:dyDescent="0.25"/>
    <row r="349" spans="1:112" x14ac:dyDescent="0.25"/>
    <row r="350" spans="1:112" x14ac:dyDescent="0.25"/>
    <row r="351" spans="1:112" x14ac:dyDescent="0.25"/>
    <row r="352" spans="1:112" x14ac:dyDescent="0.25"/>
    <row r="353" spans="1:112" x14ac:dyDescent="0.25"/>
    <row r="354" spans="1:112" x14ac:dyDescent="0.25"/>
    <row r="355" spans="1:112" x14ac:dyDescent="0.25"/>
    <row r="356" spans="1:112" x14ac:dyDescent="0.25"/>
    <row r="357" spans="1:112" x14ac:dyDescent="0.25"/>
    <row r="358" spans="1:112" x14ac:dyDescent="0.25"/>
    <row r="359" spans="1:112" x14ac:dyDescent="0.25"/>
    <row r="360" spans="1:112" x14ac:dyDescent="0.25"/>
    <row r="361" spans="1:112" x14ac:dyDescent="0.25"/>
    <row r="362" spans="1:112" x14ac:dyDescent="0.25"/>
    <row r="363" spans="1:112" x14ac:dyDescent="0.25"/>
    <row r="364" spans="1:112" x14ac:dyDescent="0.25"/>
    <row r="365" spans="1:112" x14ac:dyDescent="0.25"/>
  </sheetData>
  <mergeCells count="43">
    <mergeCell ref="B1:AA1"/>
    <mergeCell ref="I7:CW7"/>
    <mergeCell ref="A7:A9"/>
    <mergeCell ref="B7:B9"/>
    <mergeCell ref="C7:C9"/>
    <mergeCell ref="D7:D9"/>
    <mergeCell ref="E7:E9"/>
    <mergeCell ref="F7:F9"/>
    <mergeCell ref="G7:G9"/>
    <mergeCell ref="H7:H9"/>
    <mergeCell ref="I8:K8"/>
    <mergeCell ref="L8:N8"/>
    <mergeCell ref="O8:Q8"/>
    <mergeCell ref="R8:T8"/>
    <mergeCell ref="U8:W8"/>
    <mergeCell ref="X8:Z8"/>
    <mergeCell ref="AA8:AC8"/>
    <mergeCell ref="AD8:AF8"/>
    <mergeCell ref="AG8:AI8"/>
    <mergeCell ref="AJ8:AL8"/>
    <mergeCell ref="AM8:AO8"/>
    <mergeCell ref="AP8:AR8"/>
    <mergeCell ref="AS8:AU8"/>
    <mergeCell ref="AV8:AX8"/>
    <mergeCell ref="AY8:BA8"/>
    <mergeCell ref="BB8:BD8"/>
    <mergeCell ref="BE8:BG8"/>
    <mergeCell ref="BH8:BJ8"/>
    <mergeCell ref="BK8:BM8"/>
    <mergeCell ref="BN8:BP8"/>
    <mergeCell ref="BQ8:BS8"/>
    <mergeCell ref="BT8:BV8"/>
    <mergeCell ref="BW8:BY8"/>
    <mergeCell ref="BZ8:CB8"/>
    <mergeCell ref="CC8:CE8"/>
    <mergeCell ref="CF8:CH8"/>
    <mergeCell ref="CI8:CK8"/>
    <mergeCell ref="CL8:CN8"/>
    <mergeCell ref="CO8:CQ8"/>
    <mergeCell ref="CR8:CT8"/>
    <mergeCell ref="CU8:CW8"/>
    <mergeCell ref="CX8:CY8"/>
    <mergeCell ref="CZ8:DA8"/>
  </mergeCells>
  <conditionalFormatting sqref="E10:H331">
    <cfRule type="expression" dxfId="0" priority="1">
      <formula>AND(COUNTIF($E$651:$E$65536,E651)+COUNTIF($E$10:$E$331,E651)&gt;1,NOT(ISBLANK(E651)))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343"/>
  <sheetViews>
    <sheetView workbookViewId="0" zoomScale="100" zoomScaleNormal="100">
      <pane xSplit="5" ySplit="9" topLeftCell="F10" activePane="bottomRight" state="frozen"/>
      <selection pane="bottomRight" activeCell="I8" sqref="I8"/>
    </sheetView>
  </sheetViews>
  <sheetFormatPr defaultRowHeight="15" outlineLevelRow="0" outlineLevelCol="0" x14ac:dyDescent="0" defaultColWidth="14.42578125"/>
  <cols>
    <col min="1" max="1" width="10.7109375" customWidth="1"/>
    <col min="2" max="2" width="9.140625" customWidth="1"/>
    <col min="3" max="3" width="10.28515625" customWidth="1"/>
    <col min="4" max="8" width="9.140625" customWidth="1"/>
    <col min="9" max="61" width="7.140625" customWidth="1"/>
    <col min="62" max="62" width="7.28515625" customWidth="1"/>
    <col min="63" max="101" width="7.140625" customWidth="1"/>
    <col min="102" max="109" width="9.140625" customWidth="1"/>
  </cols>
  <sheetData>
    <row r="1" ht="18" customHeight="1" spans="1:109" x14ac:dyDescent="0.2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5"/>
      <c r="BV1" s="5"/>
      <c r="BW1" s="5"/>
      <c r="BX1" s="5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1"/>
      <c r="CY1" s="1"/>
      <c r="CZ1" s="1"/>
      <c r="DA1" s="1"/>
      <c r="DB1" s="1"/>
      <c r="DC1" s="1"/>
      <c r="DD1" s="1"/>
      <c r="DE1" s="1"/>
    </row>
    <row r="2" ht="3" customHeight="1" spans="1:10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</row>
    <row r="3" ht="15" customHeight="1" spans="1:109" x14ac:dyDescent="0.25">
      <c r="A3" s="9" t="s">
        <v>1</v>
      </c>
      <c r="B3" s="10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</row>
    <row r="4" ht="15" customHeight="1" spans="1:109" x14ac:dyDescent="0.25">
      <c r="A4" s="9" t="s">
        <v>2</v>
      </c>
      <c r="B4" s="9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</row>
    <row r="5" ht="15" customHeight="1" spans="1:109" x14ac:dyDescent="0.25">
      <c r="A5" s="9" t="s">
        <v>3</v>
      </c>
      <c r="B5" s="9" t="s">
        <v>26</v>
      </c>
      <c r="C5" s="1"/>
      <c r="D5" s="1"/>
      <c r="E5" s="1"/>
      <c r="F5" s="1"/>
      <c r="G5" s="1"/>
      <c r="H5" s="1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1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1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1"/>
      <c r="CY5" s="1"/>
      <c r="CZ5" s="1"/>
      <c r="DA5" s="1"/>
      <c r="DB5" s="1"/>
      <c r="DC5" s="1"/>
      <c r="DD5" s="1"/>
      <c r="DE5" s="1"/>
    </row>
    <row r="6" ht="2.25" customHeight="1" spans="1:109" x14ac:dyDescent="0.25">
      <c r="A6" s="11"/>
      <c r="B6" s="12"/>
      <c r="C6" s="12"/>
      <c r="D6" s="12"/>
      <c r="E6" s="12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7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7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"/>
      <c r="CY6" s="1"/>
      <c r="CZ6" s="1"/>
      <c r="DA6" s="1"/>
      <c r="DB6" s="1"/>
      <c r="DC6" s="1"/>
      <c r="DD6" s="1"/>
      <c r="DE6" s="1"/>
    </row>
    <row r="7" ht="15" customHeight="1" spans="1:109" x14ac:dyDescent="0.25">
      <c r="A7" s="14" t="s">
        <v>5</v>
      </c>
      <c r="B7" s="15" t="s">
        <v>6</v>
      </c>
      <c r="C7" s="15" t="s">
        <v>7</v>
      </c>
      <c r="D7" s="15" t="s">
        <v>8</v>
      </c>
      <c r="E7" s="15" t="s">
        <v>9</v>
      </c>
      <c r="F7" s="15" t="s">
        <v>10</v>
      </c>
      <c r="G7" s="15" t="s">
        <v>11</v>
      </c>
      <c r="H7" s="15" t="s">
        <v>12</v>
      </c>
      <c r="I7" s="40" t="s">
        <v>13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8"/>
      <c r="CX7" s="1"/>
      <c r="CY7" s="1"/>
      <c r="CZ7" s="1"/>
      <c r="DA7" s="1"/>
      <c r="DB7" s="1"/>
      <c r="DC7" s="1"/>
      <c r="DD7" s="1"/>
      <c r="DE7" s="1"/>
    </row>
    <row r="8" ht="13.5" customHeight="1" spans="1:109" x14ac:dyDescent="0.25">
      <c r="A8" s="19"/>
      <c r="B8" s="19"/>
      <c r="C8" s="19"/>
      <c r="D8" s="19"/>
      <c r="E8" s="19"/>
      <c r="F8" s="19"/>
      <c r="G8" s="19"/>
      <c r="H8" s="19"/>
      <c r="I8" s="40">
        <v>1</v>
      </c>
      <c r="J8" s="17"/>
      <c r="K8" s="18"/>
      <c r="L8" s="40">
        <v>2</v>
      </c>
      <c r="M8" s="17"/>
      <c r="N8" s="18"/>
      <c r="O8" s="40">
        <v>3</v>
      </c>
      <c r="P8" s="17"/>
      <c r="Q8" s="18"/>
      <c r="R8" s="40">
        <v>4</v>
      </c>
      <c r="S8" s="17"/>
      <c r="T8" s="18"/>
      <c r="U8" s="40">
        <v>5</v>
      </c>
      <c r="V8" s="17"/>
      <c r="W8" s="18"/>
      <c r="X8" s="40">
        <v>6</v>
      </c>
      <c r="Y8" s="17"/>
      <c r="Z8" s="18"/>
      <c r="AA8" s="40">
        <v>7</v>
      </c>
      <c r="AB8" s="17"/>
      <c r="AC8" s="18"/>
      <c r="AD8" s="40">
        <v>8</v>
      </c>
      <c r="AE8" s="17"/>
      <c r="AF8" s="18"/>
      <c r="AG8" s="40">
        <v>9</v>
      </c>
      <c r="AH8" s="17"/>
      <c r="AI8" s="18"/>
      <c r="AJ8" s="40">
        <v>10</v>
      </c>
      <c r="AK8" s="17"/>
      <c r="AL8" s="18"/>
      <c r="AM8" s="40">
        <v>11</v>
      </c>
      <c r="AN8" s="17"/>
      <c r="AO8" s="18"/>
      <c r="AP8" s="40">
        <v>12</v>
      </c>
      <c r="AQ8" s="17"/>
      <c r="AR8" s="18"/>
      <c r="AS8" s="40">
        <v>13</v>
      </c>
      <c r="AT8" s="17"/>
      <c r="AU8" s="18"/>
      <c r="AV8" s="40">
        <v>14</v>
      </c>
      <c r="AW8" s="17"/>
      <c r="AX8" s="18"/>
      <c r="AY8" s="40">
        <v>15</v>
      </c>
      <c r="AZ8" s="17"/>
      <c r="BA8" s="18"/>
      <c r="BB8" s="40">
        <v>16</v>
      </c>
      <c r="BC8" s="17"/>
      <c r="BD8" s="18"/>
      <c r="BE8" s="40">
        <v>17</v>
      </c>
      <c r="BF8" s="17"/>
      <c r="BG8" s="18"/>
      <c r="BH8" s="40">
        <v>18</v>
      </c>
      <c r="BI8" s="17"/>
      <c r="BJ8" s="18"/>
      <c r="BK8" s="40">
        <v>19</v>
      </c>
      <c r="BL8" s="17"/>
      <c r="BM8" s="18"/>
      <c r="BN8" s="40">
        <v>20</v>
      </c>
      <c r="BO8" s="18"/>
      <c r="BP8" s="41"/>
      <c r="BQ8" s="40">
        <v>21</v>
      </c>
      <c r="BR8" s="17"/>
      <c r="BS8" s="18"/>
      <c r="BT8" s="40">
        <v>22</v>
      </c>
      <c r="BU8" s="17"/>
      <c r="BV8" s="18"/>
      <c r="BW8" s="40">
        <v>23</v>
      </c>
      <c r="BX8" s="17"/>
      <c r="BY8" s="18"/>
      <c r="BZ8" s="40">
        <v>24</v>
      </c>
      <c r="CA8" s="17"/>
      <c r="CB8" s="18"/>
      <c r="CC8" s="40">
        <v>25</v>
      </c>
      <c r="CD8" s="17"/>
      <c r="CE8" s="18"/>
      <c r="CF8" s="40">
        <v>26</v>
      </c>
      <c r="CG8" s="17"/>
      <c r="CH8" s="18"/>
      <c r="CI8" s="40">
        <v>27</v>
      </c>
      <c r="CJ8" s="17"/>
      <c r="CK8" s="18"/>
      <c r="CL8" s="40">
        <v>28</v>
      </c>
      <c r="CM8" s="17"/>
      <c r="CN8" s="18"/>
      <c r="CO8" s="40">
        <v>29</v>
      </c>
      <c r="CP8" s="17"/>
      <c r="CQ8" s="18"/>
      <c r="CR8" s="40">
        <v>30</v>
      </c>
      <c r="CS8" s="17"/>
      <c r="CT8" s="18"/>
      <c r="CU8" s="40">
        <v>31</v>
      </c>
      <c r="CV8" s="17"/>
      <c r="CW8" s="18"/>
      <c r="CX8" s="21" t="s">
        <v>14</v>
      </c>
      <c r="CY8" s="18"/>
      <c r="CZ8" s="21" t="s">
        <v>14</v>
      </c>
      <c r="DA8" s="18"/>
      <c r="DB8" s="22"/>
      <c r="DC8" s="1"/>
      <c r="DD8" s="1"/>
      <c r="DE8" s="1"/>
    </row>
    <row r="9" ht="69" customHeight="1" spans="1:109" x14ac:dyDescent="0.25">
      <c r="A9" s="23"/>
      <c r="B9" s="23"/>
      <c r="C9" s="23"/>
      <c r="D9" s="23"/>
      <c r="E9" s="23"/>
      <c r="F9" s="23"/>
      <c r="G9" s="23"/>
      <c r="H9" s="23"/>
      <c r="I9" s="24" t="s">
        <v>15</v>
      </c>
      <c r="J9" s="25" t="s">
        <v>16</v>
      </c>
      <c r="K9" s="26" t="s">
        <v>17</v>
      </c>
      <c r="L9" s="24" t="s">
        <v>15</v>
      </c>
      <c r="M9" s="25" t="s">
        <v>16</v>
      </c>
      <c r="N9" s="26" t="s">
        <v>17</v>
      </c>
      <c r="O9" s="24" t="s">
        <v>15</v>
      </c>
      <c r="P9" s="25" t="s">
        <v>16</v>
      </c>
      <c r="Q9" s="26" t="s">
        <v>17</v>
      </c>
      <c r="R9" s="24" t="s">
        <v>15</v>
      </c>
      <c r="S9" s="25" t="s">
        <v>16</v>
      </c>
      <c r="T9" s="26" t="s">
        <v>17</v>
      </c>
      <c r="U9" s="24" t="s">
        <v>15</v>
      </c>
      <c r="V9" s="25" t="s">
        <v>16</v>
      </c>
      <c r="W9" s="26" t="s">
        <v>17</v>
      </c>
      <c r="X9" s="24" t="s">
        <v>15</v>
      </c>
      <c r="Y9" s="25" t="s">
        <v>16</v>
      </c>
      <c r="Z9" s="26" t="s">
        <v>17</v>
      </c>
      <c r="AA9" s="24" t="s">
        <v>15</v>
      </c>
      <c r="AB9" s="25" t="s">
        <v>16</v>
      </c>
      <c r="AC9" s="26" t="s">
        <v>17</v>
      </c>
      <c r="AD9" s="24" t="s">
        <v>15</v>
      </c>
      <c r="AE9" s="25" t="s">
        <v>16</v>
      </c>
      <c r="AF9" s="26" t="s">
        <v>17</v>
      </c>
      <c r="AG9" s="24" t="s">
        <v>15</v>
      </c>
      <c r="AH9" s="25" t="s">
        <v>16</v>
      </c>
      <c r="AI9" s="26" t="s">
        <v>17</v>
      </c>
      <c r="AJ9" s="24" t="s">
        <v>15</v>
      </c>
      <c r="AK9" s="25" t="s">
        <v>16</v>
      </c>
      <c r="AL9" s="26" t="s">
        <v>17</v>
      </c>
      <c r="AM9" s="24" t="s">
        <v>15</v>
      </c>
      <c r="AN9" s="25" t="s">
        <v>16</v>
      </c>
      <c r="AO9" s="26" t="s">
        <v>17</v>
      </c>
      <c r="AP9" s="24" t="s">
        <v>15</v>
      </c>
      <c r="AQ9" s="25" t="s">
        <v>16</v>
      </c>
      <c r="AR9" s="26" t="s">
        <v>17</v>
      </c>
      <c r="AS9" s="24" t="s">
        <v>15</v>
      </c>
      <c r="AT9" s="25" t="s">
        <v>16</v>
      </c>
      <c r="AU9" s="26" t="s">
        <v>17</v>
      </c>
      <c r="AV9" s="24" t="s">
        <v>15</v>
      </c>
      <c r="AW9" s="25" t="s">
        <v>16</v>
      </c>
      <c r="AX9" s="26" t="s">
        <v>17</v>
      </c>
      <c r="AY9" s="24" t="s">
        <v>15</v>
      </c>
      <c r="AZ9" s="25" t="s">
        <v>16</v>
      </c>
      <c r="BA9" s="26" t="s">
        <v>17</v>
      </c>
      <c r="BB9" s="24" t="s">
        <v>15</v>
      </c>
      <c r="BC9" s="25" t="s">
        <v>16</v>
      </c>
      <c r="BD9" s="26" t="s">
        <v>17</v>
      </c>
      <c r="BE9" s="24" t="s">
        <v>15</v>
      </c>
      <c r="BF9" s="25" t="s">
        <v>16</v>
      </c>
      <c r="BG9" s="26" t="s">
        <v>17</v>
      </c>
      <c r="BH9" s="24" t="s">
        <v>15</v>
      </c>
      <c r="BI9" s="25" t="s">
        <v>16</v>
      </c>
      <c r="BJ9" s="26" t="s">
        <v>17</v>
      </c>
      <c r="BK9" s="24" t="s">
        <v>15</v>
      </c>
      <c r="BL9" s="25" t="s">
        <v>16</v>
      </c>
      <c r="BM9" s="26" t="s">
        <v>17</v>
      </c>
      <c r="BN9" s="24" t="s">
        <v>15</v>
      </c>
      <c r="BO9" s="25" t="s">
        <v>16</v>
      </c>
      <c r="BP9" s="26" t="s">
        <v>17</v>
      </c>
      <c r="BQ9" s="24" t="s">
        <v>15</v>
      </c>
      <c r="BR9" s="25" t="s">
        <v>16</v>
      </c>
      <c r="BS9" s="26" t="s">
        <v>17</v>
      </c>
      <c r="BT9" s="24" t="s">
        <v>15</v>
      </c>
      <c r="BU9" s="25" t="s">
        <v>16</v>
      </c>
      <c r="BV9" s="26" t="s">
        <v>17</v>
      </c>
      <c r="BW9" s="24" t="s">
        <v>15</v>
      </c>
      <c r="BX9" s="25" t="s">
        <v>16</v>
      </c>
      <c r="BY9" s="26" t="s">
        <v>17</v>
      </c>
      <c r="BZ9" s="24" t="s">
        <v>15</v>
      </c>
      <c r="CA9" s="25" t="s">
        <v>16</v>
      </c>
      <c r="CB9" s="26" t="s">
        <v>17</v>
      </c>
      <c r="CC9" s="24" t="s">
        <v>15</v>
      </c>
      <c r="CD9" s="25" t="s">
        <v>16</v>
      </c>
      <c r="CE9" s="26" t="s">
        <v>17</v>
      </c>
      <c r="CF9" s="24" t="s">
        <v>15</v>
      </c>
      <c r="CG9" s="25" t="s">
        <v>16</v>
      </c>
      <c r="CH9" s="26" t="s">
        <v>17</v>
      </c>
      <c r="CI9" s="24" t="s">
        <v>15</v>
      </c>
      <c r="CJ9" s="25" t="s">
        <v>16</v>
      </c>
      <c r="CK9" s="26" t="s">
        <v>17</v>
      </c>
      <c r="CL9" s="24" t="s">
        <v>15</v>
      </c>
      <c r="CM9" s="25" t="s">
        <v>16</v>
      </c>
      <c r="CN9" s="26" t="s">
        <v>17</v>
      </c>
      <c r="CO9" s="24" t="s">
        <v>15</v>
      </c>
      <c r="CP9" s="25" t="s">
        <v>16</v>
      </c>
      <c r="CQ9" s="26" t="s">
        <v>17</v>
      </c>
      <c r="CR9" s="24" t="s">
        <v>15</v>
      </c>
      <c r="CS9" s="25" t="s">
        <v>16</v>
      </c>
      <c r="CT9" s="26" t="s">
        <v>17</v>
      </c>
      <c r="CU9" s="24" t="s">
        <v>15</v>
      </c>
      <c r="CV9" s="25" t="s">
        <v>16</v>
      </c>
      <c r="CW9" s="26" t="s">
        <v>17</v>
      </c>
      <c r="CX9" s="28" t="s">
        <v>18</v>
      </c>
      <c r="CY9" s="28" t="s">
        <v>16</v>
      </c>
      <c r="CZ9" s="28" t="s">
        <v>19</v>
      </c>
      <c r="DA9" s="28" t="s">
        <v>20</v>
      </c>
      <c r="DB9" s="29" t="s">
        <v>21</v>
      </c>
      <c r="DC9" s="29" t="s">
        <v>22</v>
      </c>
      <c r="DD9" s="28" t="s">
        <v>23</v>
      </c>
      <c r="DE9" s="28" t="s">
        <v>24</v>
      </c>
    </row>
    <row r="10" ht="14.25" customHeight="1" spans="1:112" x14ac:dyDescent="0.25">
      <c r="A10" s="31"/>
      <c r="B10" s="31" t="s">
        <v>25</v>
      </c>
      <c r="C10" s="31" t="s">
        <v>25</v>
      </c>
      <c r="D10" s="31" t="s">
        <v>25</v>
      </c>
      <c r="E10" s="31" t="s">
        <v>25</v>
      </c>
      <c r="F10" s="31" t="s">
        <v>25</v>
      </c>
      <c r="G10" s="31"/>
      <c r="H10" s="31" t="s">
        <v>25</v>
      </c>
      <c r="I10" s="32"/>
      <c r="J10" s="32"/>
      <c r="K10" s="32"/>
      <c r="L10" s="33"/>
      <c r="M10" s="33"/>
      <c r="N10" s="33"/>
      <c r="O10" s="33"/>
      <c r="P10" s="33"/>
      <c r="Q10" s="42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42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2"/>
      <c r="BJ10" s="32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42"/>
      <c r="CF10" s="33"/>
      <c r="CG10" s="33"/>
      <c r="CH10" s="42"/>
      <c r="CI10" s="33"/>
      <c r="CJ10" s="33"/>
      <c r="CK10" s="33"/>
      <c r="CL10" s="33"/>
      <c r="CM10" s="32"/>
      <c r="CN10" s="32"/>
      <c r="CO10" s="32"/>
      <c r="CP10" s="32"/>
      <c r="CQ10" s="32"/>
      <c r="CR10" s="32"/>
      <c r="CS10" s="35"/>
      <c r="CT10" s="35"/>
      <c r="CU10" s="32"/>
      <c r="CV10" s="32"/>
      <c r="CW10" s="32"/>
      <c r="CX10" s="36">
        <f>SUMIF($I$9:$AZ$9,$CR$9,$I10:$AZ10)</f>
      </c>
      <c r="CY10" s="36">
        <f>SUMIF($I$9:$AZ$9,$CV$9,$I10:$AZ10)</f>
      </c>
      <c r="CZ10" s="36">
        <f>SUMIF($BB$9:$CV$9,$CU$9,$BB10:$CV10)</f>
      </c>
      <c r="DA10" s="37">
        <f>SUMIF($BB$9:$CV$9,$CV$9,$BB10:$CV10)</f>
      </c>
      <c r="DB10" s="38">
        <f>CX10*$DB$8</f>
      </c>
      <c r="DC10" s="38">
        <f>CZ10*$DB$8</f>
      </c>
      <c r="DD10" s="38">
        <f>DB10+DC10</f>
      </c>
      <c r="DE10" s="37">
        <f>CY10+DA10</f>
      </c>
      <c r="DF10">
        <f>IF(AND(G10&gt;0,DE10&gt;0),ROUND(DD10*1000/(G10*DE10),1),"")</f>
      </c>
    </row>
    <row r="11" spans="1:112" x14ac:dyDescent="0.25"/>
    <row r="12" spans="1:112" x14ac:dyDescent="0.25"/>
    <row r="13" spans="1:112" x14ac:dyDescent="0.25"/>
    <row r="14" spans="1:112" x14ac:dyDescent="0.25"/>
    <row r="15" spans="1:112" x14ac:dyDescent="0.25"/>
    <row r="16" spans="1:112" x14ac:dyDescent="0.25"/>
    <row r="17" spans="1:112" x14ac:dyDescent="0.25"/>
    <row r="18" spans="1:112" x14ac:dyDescent="0.25"/>
    <row r="19" spans="1:112" x14ac:dyDescent="0.25"/>
    <row r="20" spans="1:112" x14ac:dyDescent="0.25"/>
    <row r="21" spans="1:112" x14ac:dyDescent="0.25"/>
    <row r="22" spans="1:112" x14ac:dyDescent="0.25"/>
    <row r="23" spans="1:112" x14ac:dyDescent="0.25"/>
    <row r="24" spans="1:112" x14ac:dyDescent="0.25"/>
    <row r="25" spans="1:112" x14ac:dyDescent="0.25"/>
    <row r="26" spans="1:112" x14ac:dyDescent="0.25"/>
    <row r="27" spans="1:112" x14ac:dyDescent="0.25"/>
    <row r="28" spans="1:112" x14ac:dyDescent="0.25"/>
    <row r="29" spans="1:112" x14ac:dyDescent="0.25"/>
    <row r="30" spans="1:112" x14ac:dyDescent="0.25"/>
    <row r="31" spans="1:112" x14ac:dyDescent="0.25"/>
    <row r="32" spans="1:112" x14ac:dyDescent="0.25"/>
    <row r="33" spans="1:112" x14ac:dyDescent="0.25"/>
    <row r="34" spans="1:112" x14ac:dyDescent="0.25"/>
    <row r="35" spans="1:112" x14ac:dyDescent="0.25"/>
    <row r="36" spans="1:112" x14ac:dyDescent="0.25"/>
    <row r="37" spans="1:112" x14ac:dyDescent="0.25"/>
    <row r="38" spans="1:112" x14ac:dyDescent="0.25"/>
    <row r="39" spans="1:112" x14ac:dyDescent="0.25"/>
    <row r="40" spans="1:112" x14ac:dyDescent="0.25"/>
    <row r="41" spans="1:112" x14ac:dyDescent="0.25"/>
    <row r="42" spans="1:112" x14ac:dyDescent="0.25"/>
    <row r="43" spans="1:112" x14ac:dyDescent="0.25"/>
    <row r="44" spans="1:112" x14ac:dyDescent="0.25"/>
    <row r="45" spans="1:112" x14ac:dyDescent="0.25"/>
    <row r="46" spans="1:112" x14ac:dyDescent="0.25"/>
    <row r="47" spans="1:112" x14ac:dyDescent="0.25"/>
    <row r="48" spans="1:112" x14ac:dyDescent="0.25"/>
    <row r="49" spans="1:112" x14ac:dyDescent="0.25"/>
    <row r="50" spans="1:112" x14ac:dyDescent="0.25"/>
    <row r="51" spans="1:112" x14ac:dyDescent="0.25"/>
    <row r="52" spans="1:112" x14ac:dyDescent="0.25"/>
    <row r="53" spans="1:112" x14ac:dyDescent="0.25"/>
    <row r="54" spans="1:112" x14ac:dyDescent="0.25"/>
    <row r="55" spans="1:112" x14ac:dyDescent="0.25"/>
    <row r="56" spans="1:112" x14ac:dyDescent="0.25"/>
    <row r="57" spans="1:112" x14ac:dyDescent="0.25"/>
    <row r="58" spans="1:112" x14ac:dyDescent="0.25"/>
    <row r="59" spans="1:112" x14ac:dyDescent="0.25"/>
    <row r="60" spans="1:112" x14ac:dyDescent="0.25"/>
    <row r="61" spans="1:112" x14ac:dyDescent="0.25"/>
    <row r="62" spans="1:112" x14ac:dyDescent="0.25"/>
    <row r="63" spans="1:112" x14ac:dyDescent="0.25"/>
    <row r="64" spans="1:112" x14ac:dyDescent="0.25"/>
    <row r="65" spans="1:112" x14ac:dyDescent="0.25"/>
    <row r="66" spans="1:112" x14ac:dyDescent="0.25"/>
    <row r="67" spans="1:112" x14ac:dyDescent="0.25"/>
    <row r="68" spans="1:112" x14ac:dyDescent="0.25"/>
    <row r="69" spans="1:112" x14ac:dyDescent="0.25"/>
    <row r="70" spans="1:112" x14ac:dyDescent="0.25"/>
    <row r="71" spans="1:112" x14ac:dyDescent="0.25"/>
    <row r="72" spans="1:112" x14ac:dyDescent="0.25"/>
    <row r="73" spans="1:112" x14ac:dyDescent="0.25"/>
    <row r="74" spans="1:112" x14ac:dyDescent="0.25"/>
    <row r="75" spans="1:112" x14ac:dyDescent="0.25"/>
    <row r="76" spans="1:112" x14ac:dyDescent="0.25"/>
    <row r="77" spans="1:112" x14ac:dyDescent="0.25"/>
    <row r="78" spans="1:112" x14ac:dyDescent="0.25"/>
    <row r="79" spans="1:112" x14ac:dyDescent="0.25"/>
    <row r="80" spans="1:112" x14ac:dyDescent="0.25"/>
    <row r="81" spans="1:112" x14ac:dyDescent="0.25"/>
    <row r="82" spans="1:112" x14ac:dyDescent="0.25"/>
    <row r="83" spans="1:112" x14ac:dyDescent="0.25"/>
    <row r="84" spans="1:112" x14ac:dyDescent="0.25"/>
    <row r="85" spans="1:112" x14ac:dyDescent="0.25"/>
    <row r="86" spans="1:112" x14ac:dyDescent="0.25"/>
    <row r="87" spans="1:112" x14ac:dyDescent="0.25"/>
    <row r="88" spans="1:112" x14ac:dyDescent="0.25"/>
    <row r="89" spans="1:112" x14ac:dyDescent="0.25"/>
    <row r="90" spans="1:112" x14ac:dyDescent="0.25"/>
    <row r="91" spans="1:112" x14ac:dyDescent="0.25"/>
    <row r="92" spans="1:112" x14ac:dyDescent="0.25"/>
    <row r="93" spans="1:112" x14ac:dyDescent="0.25"/>
    <row r="94" spans="1:112" x14ac:dyDescent="0.25"/>
    <row r="95" spans="1:112" x14ac:dyDescent="0.25"/>
    <row r="96" spans="1:112" x14ac:dyDescent="0.25"/>
    <row r="97" spans="1:112" x14ac:dyDescent="0.25"/>
    <row r="98" spans="1:112" x14ac:dyDescent="0.25"/>
    <row r="99" spans="1:112" x14ac:dyDescent="0.25"/>
    <row r="100" spans="1:112" x14ac:dyDescent="0.25"/>
    <row r="101" spans="1:112" x14ac:dyDescent="0.25"/>
    <row r="102" spans="1:112" x14ac:dyDescent="0.25"/>
    <row r="103" spans="1:112" x14ac:dyDescent="0.25"/>
    <row r="104" spans="1:112" x14ac:dyDescent="0.25"/>
    <row r="105" spans="1:112" x14ac:dyDescent="0.25"/>
    <row r="106" spans="1:112" x14ac:dyDescent="0.25"/>
    <row r="107" spans="1:112" x14ac:dyDescent="0.25"/>
    <row r="108" spans="1:112" x14ac:dyDescent="0.25"/>
    <row r="109" spans="1:112" x14ac:dyDescent="0.25"/>
    <row r="110" spans="1:112" x14ac:dyDescent="0.25"/>
    <row r="111" spans="1:112" x14ac:dyDescent="0.25"/>
    <row r="112" spans="1:112" x14ac:dyDescent="0.25"/>
    <row r="113" spans="1:112" x14ac:dyDescent="0.25"/>
    <row r="114" spans="1:112" x14ac:dyDescent="0.25"/>
    <row r="115" spans="1:112" x14ac:dyDescent="0.25"/>
    <row r="116" spans="1:112" x14ac:dyDescent="0.25"/>
    <row r="117" spans="1:112" x14ac:dyDescent="0.25"/>
    <row r="118" spans="1:112" x14ac:dyDescent="0.25"/>
    <row r="119" spans="1:112" x14ac:dyDescent="0.25"/>
    <row r="120" spans="1:112" x14ac:dyDescent="0.25"/>
    <row r="121" spans="1:112" x14ac:dyDescent="0.25"/>
    <row r="122" spans="1:112" x14ac:dyDescent="0.25"/>
    <row r="123" spans="1:112" x14ac:dyDescent="0.25"/>
    <row r="124" spans="1:112" x14ac:dyDescent="0.25"/>
    <row r="125" spans="1:112" x14ac:dyDescent="0.25"/>
    <row r="126" spans="1:112" x14ac:dyDescent="0.25"/>
    <row r="127" spans="1:112" x14ac:dyDescent="0.25"/>
    <row r="128" spans="1:112" x14ac:dyDescent="0.25"/>
    <row r="129" spans="1:112" x14ac:dyDescent="0.25"/>
    <row r="130" spans="1:112" x14ac:dyDescent="0.25"/>
    <row r="131" spans="1:112" x14ac:dyDescent="0.25"/>
    <row r="132" spans="1:112" x14ac:dyDescent="0.25"/>
    <row r="133" spans="1:112" x14ac:dyDescent="0.25"/>
    <row r="134" spans="1:112" x14ac:dyDescent="0.25"/>
    <row r="135" spans="1:112" x14ac:dyDescent="0.25"/>
    <row r="136" spans="1:112" x14ac:dyDescent="0.25"/>
    <row r="137" spans="1:112" x14ac:dyDescent="0.25"/>
    <row r="138" spans="1:112" x14ac:dyDescent="0.25"/>
    <row r="139" spans="1:112" x14ac:dyDescent="0.25"/>
    <row r="140" spans="1:112" x14ac:dyDescent="0.25"/>
    <row r="141" spans="1:112" x14ac:dyDescent="0.25"/>
    <row r="142" spans="1:112" x14ac:dyDescent="0.25"/>
    <row r="143" spans="1:112" x14ac:dyDescent="0.25"/>
    <row r="144" spans="1:112" x14ac:dyDescent="0.25"/>
    <row r="145" spans="1:112" x14ac:dyDescent="0.25"/>
    <row r="146" spans="1:112" x14ac:dyDescent="0.25"/>
    <row r="147" spans="1:112" x14ac:dyDescent="0.25"/>
    <row r="148" spans="1:112" x14ac:dyDescent="0.25"/>
    <row r="149" spans="1:112" x14ac:dyDescent="0.25"/>
    <row r="150" spans="1:112" x14ac:dyDescent="0.25"/>
    <row r="151" spans="1:112" x14ac:dyDescent="0.25"/>
    <row r="152" spans="1:112" x14ac:dyDescent="0.25"/>
    <row r="153" spans="1:112" x14ac:dyDescent="0.25"/>
    <row r="154" spans="1:112" x14ac:dyDescent="0.25"/>
    <row r="155" spans="1:112" x14ac:dyDescent="0.25"/>
    <row r="156" spans="1:112" x14ac:dyDescent="0.25"/>
    <row r="157" spans="1:112" x14ac:dyDescent="0.25"/>
    <row r="158" spans="1:112" x14ac:dyDescent="0.25"/>
    <row r="159" spans="1:112" x14ac:dyDescent="0.25"/>
    <row r="160" spans="1:112" x14ac:dyDescent="0.25"/>
    <row r="161" spans="1:112" x14ac:dyDescent="0.25"/>
    <row r="162" spans="1:112" x14ac:dyDescent="0.25"/>
    <row r="163" spans="1:112" x14ac:dyDescent="0.25"/>
    <row r="164" spans="1:112" x14ac:dyDescent="0.25"/>
    <row r="165" spans="1:112" x14ac:dyDescent="0.25"/>
    <row r="166" spans="1:112" x14ac:dyDescent="0.25"/>
    <row r="167" spans="1:112" x14ac:dyDescent="0.25"/>
    <row r="168" spans="1:112" x14ac:dyDescent="0.25"/>
    <row r="169" spans="1:112" x14ac:dyDescent="0.25"/>
    <row r="170" spans="1:112" x14ac:dyDescent="0.25"/>
    <row r="171" spans="1:112" x14ac:dyDescent="0.25"/>
    <row r="172" spans="1:112" x14ac:dyDescent="0.25"/>
    <row r="173" spans="1:112" x14ac:dyDescent="0.25"/>
    <row r="174" spans="1:112" x14ac:dyDescent="0.25"/>
    <row r="175" spans="1:112" x14ac:dyDescent="0.25"/>
    <row r="176" spans="1:112" x14ac:dyDescent="0.25"/>
    <row r="177" spans="1:112" x14ac:dyDescent="0.25"/>
    <row r="178" spans="1:112" x14ac:dyDescent="0.25"/>
    <row r="179" spans="1:112" x14ac:dyDescent="0.25"/>
    <row r="180" spans="1:112" x14ac:dyDescent="0.25"/>
    <row r="181" spans="1:112" x14ac:dyDescent="0.25"/>
    <row r="182" spans="1:112" x14ac:dyDescent="0.25"/>
    <row r="183" spans="1:112" x14ac:dyDescent="0.25"/>
    <row r="184" spans="1:112" x14ac:dyDescent="0.25"/>
    <row r="185" spans="1:112" x14ac:dyDescent="0.25"/>
    <row r="186" spans="1:112" x14ac:dyDescent="0.25"/>
    <row r="187" spans="1:112" x14ac:dyDescent="0.25"/>
    <row r="188" spans="1:112" x14ac:dyDescent="0.25"/>
    <row r="189" spans="1:112" x14ac:dyDescent="0.25"/>
    <row r="190" spans="1:112" x14ac:dyDescent="0.25"/>
    <row r="191" spans="1:112" x14ac:dyDescent="0.25"/>
    <row r="192" spans="1:112" x14ac:dyDescent="0.25"/>
    <row r="193" spans="1:112" x14ac:dyDescent="0.25"/>
    <row r="194" spans="1:112" x14ac:dyDescent="0.25"/>
    <row r="195" spans="1:112" x14ac:dyDescent="0.25"/>
    <row r="196" spans="1:112" x14ac:dyDescent="0.25"/>
    <row r="197" spans="1:112" x14ac:dyDescent="0.25"/>
    <row r="198" spans="1:112" x14ac:dyDescent="0.25"/>
    <row r="199" spans="1:112" x14ac:dyDescent="0.25"/>
    <row r="200" spans="1:112" x14ac:dyDescent="0.25"/>
    <row r="201" spans="1:112" x14ac:dyDescent="0.25"/>
    <row r="202" spans="1:112" x14ac:dyDescent="0.25"/>
    <row r="203" spans="1:112" x14ac:dyDescent="0.25"/>
    <row r="204" spans="1:112" x14ac:dyDescent="0.25"/>
    <row r="205" spans="1:112" x14ac:dyDescent="0.25"/>
    <row r="206" spans="1:112" x14ac:dyDescent="0.25"/>
    <row r="207" spans="1:112" x14ac:dyDescent="0.25"/>
    <row r="208" spans="1:112" x14ac:dyDescent="0.25"/>
    <row r="209" spans="1:112" x14ac:dyDescent="0.25"/>
    <row r="210" spans="1:112" x14ac:dyDescent="0.25"/>
    <row r="211" spans="1:112" x14ac:dyDescent="0.25"/>
    <row r="212" spans="1:112" x14ac:dyDescent="0.25"/>
    <row r="213" spans="1:112" x14ac:dyDescent="0.25"/>
    <row r="214" spans="1:112" x14ac:dyDescent="0.25"/>
    <row r="215" spans="1:112" x14ac:dyDescent="0.25"/>
    <row r="216" spans="1:112" x14ac:dyDescent="0.25"/>
    <row r="217" spans="1:112" x14ac:dyDescent="0.25"/>
    <row r="218" spans="1:112" x14ac:dyDescent="0.25"/>
    <row r="219" spans="1:112" x14ac:dyDescent="0.25"/>
    <row r="220" spans="1:112" x14ac:dyDescent="0.25"/>
    <row r="221" spans="1:112" x14ac:dyDescent="0.25"/>
    <row r="222" spans="1:112" x14ac:dyDescent="0.25"/>
    <row r="223" spans="1:112" x14ac:dyDescent="0.25"/>
    <row r="224" spans="1:112" x14ac:dyDescent="0.25"/>
    <row r="225" spans="1:112" x14ac:dyDescent="0.25"/>
    <row r="226" spans="1:112" x14ac:dyDescent="0.25"/>
    <row r="227" spans="1:112" x14ac:dyDescent="0.25"/>
    <row r="228" spans="1:112" x14ac:dyDescent="0.25"/>
    <row r="229" spans="1:112" x14ac:dyDescent="0.25"/>
    <row r="230" spans="1:112" x14ac:dyDescent="0.25"/>
    <row r="231" spans="1:112" x14ac:dyDescent="0.25"/>
    <row r="232" spans="1:112" x14ac:dyDescent="0.25"/>
    <row r="233" spans="1:112" x14ac:dyDescent="0.25"/>
    <row r="234" spans="1:112" x14ac:dyDescent="0.25"/>
    <row r="235" spans="1:112" x14ac:dyDescent="0.25"/>
    <row r="236" spans="1:112" x14ac:dyDescent="0.25"/>
    <row r="237" spans="1:112" x14ac:dyDescent="0.25"/>
    <row r="238" spans="1:112" x14ac:dyDescent="0.25"/>
    <row r="239" spans="1:112" x14ac:dyDescent="0.25"/>
    <row r="240" spans="1:112" x14ac:dyDescent="0.25"/>
    <row r="241" spans="1:112" x14ac:dyDescent="0.25"/>
    <row r="242" spans="1:112" x14ac:dyDescent="0.25"/>
    <row r="243" spans="1:112" x14ac:dyDescent="0.25"/>
    <row r="244" spans="1:112" x14ac:dyDescent="0.25"/>
    <row r="245" spans="1:112" x14ac:dyDescent="0.25"/>
    <row r="246" spans="1:112" x14ac:dyDescent="0.25"/>
    <row r="247" spans="1:112" x14ac:dyDescent="0.25"/>
    <row r="248" spans="1:112" x14ac:dyDescent="0.25"/>
    <row r="249" spans="1:112" x14ac:dyDescent="0.25"/>
    <row r="250" spans="1:112" x14ac:dyDescent="0.25"/>
    <row r="251" spans="1:112" x14ac:dyDescent="0.25"/>
    <row r="252" spans="1:112" x14ac:dyDescent="0.25"/>
    <row r="253" spans="1:112" x14ac:dyDescent="0.25"/>
    <row r="254" spans="1:112" x14ac:dyDescent="0.25"/>
    <row r="255" spans="1:112" x14ac:dyDescent="0.25"/>
    <row r="256" spans="1:112" x14ac:dyDescent="0.25"/>
    <row r="257" spans="1:112" x14ac:dyDescent="0.25"/>
    <row r="258" spans="1:112" x14ac:dyDescent="0.25"/>
    <row r="259" spans="1:112" x14ac:dyDescent="0.25"/>
    <row r="260" spans="1:112" x14ac:dyDescent="0.25"/>
    <row r="261" spans="1:112" x14ac:dyDescent="0.25"/>
    <row r="262" spans="1:112" x14ac:dyDescent="0.25"/>
    <row r="263" spans="1:112" x14ac:dyDescent="0.25"/>
    <row r="264" spans="1:112" x14ac:dyDescent="0.25"/>
    <row r="265" spans="1:112" x14ac:dyDescent="0.25"/>
    <row r="266" spans="1:112" x14ac:dyDescent="0.25"/>
    <row r="267" spans="1:112" x14ac:dyDescent="0.25"/>
    <row r="268" spans="1:112" x14ac:dyDescent="0.25"/>
    <row r="269" spans="1:112" x14ac:dyDescent="0.25"/>
    <row r="270" spans="1:112" x14ac:dyDescent="0.25"/>
    <row r="271" spans="1:112" x14ac:dyDescent="0.25"/>
    <row r="272" spans="1:112" x14ac:dyDescent="0.25"/>
    <row r="273" spans="1:112" x14ac:dyDescent="0.25"/>
    <row r="274" spans="1:112" x14ac:dyDescent="0.25"/>
    <row r="275" spans="1:112" x14ac:dyDescent="0.25"/>
    <row r="276" spans="1:112" x14ac:dyDescent="0.25"/>
    <row r="277" spans="1:112" x14ac:dyDescent="0.25"/>
    <row r="278" spans="1:112" x14ac:dyDescent="0.25"/>
    <row r="279" spans="1:112" x14ac:dyDescent="0.25"/>
    <row r="280" spans="1:112" x14ac:dyDescent="0.25"/>
    <row r="281" spans="1:112" x14ac:dyDescent="0.25"/>
    <row r="282" spans="1:112" x14ac:dyDescent="0.25"/>
    <row r="283" spans="1:112" x14ac:dyDescent="0.25"/>
    <row r="284" spans="1:112" x14ac:dyDescent="0.25"/>
    <row r="285" spans="1:112" x14ac:dyDescent="0.25"/>
    <row r="286" spans="1:112" x14ac:dyDescent="0.25"/>
    <row r="287" spans="1:112" x14ac:dyDescent="0.25"/>
    <row r="288" spans="1:112" x14ac:dyDescent="0.25"/>
    <row r="289" spans="1:112" x14ac:dyDescent="0.25"/>
    <row r="290" spans="1:112" x14ac:dyDescent="0.25"/>
    <row r="291" spans="1:112" x14ac:dyDescent="0.25"/>
    <row r="292" spans="1:112" x14ac:dyDescent="0.25"/>
    <row r="293" spans="1:112" x14ac:dyDescent="0.25"/>
    <row r="294" spans="1:112" x14ac:dyDescent="0.25"/>
    <row r="295" spans="1:112" x14ac:dyDescent="0.25"/>
    <row r="296" spans="1:112" x14ac:dyDescent="0.25"/>
    <row r="297" spans="1:112" x14ac:dyDescent="0.25"/>
    <row r="298" spans="1:112" x14ac:dyDescent="0.25"/>
    <row r="299" spans="1:112" x14ac:dyDescent="0.25"/>
    <row r="300" spans="1:112" x14ac:dyDescent="0.25"/>
    <row r="301" spans="1:112" x14ac:dyDescent="0.25"/>
    <row r="302" spans="1:112" x14ac:dyDescent="0.25"/>
    <row r="303" spans="1:112" x14ac:dyDescent="0.25"/>
    <row r="304" spans="1:112" x14ac:dyDescent="0.25"/>
    <row r="305" spans="1:112" x14ac:dyDescent="0.25"/>
    <row r="306" spans="1:112" x14ac:dyDescent="0.25"/>
    <row r="307" spans="1:112" x14ac:dyDescent="0.25"/>
    <row r="308" spans="1:112" x14ac:dyDescent="0.25"/>
    <row r="309" spans="1:112" x14ac:dyDescent="0.25"/>
    <row r="310" spans="1:112" x14ac:dyDescent="0.25"/>
    <row r="311" spans="1:112" x14ac:dyDescent="0.25"/>
    <row r="312" spans="1:112" x14ac:dyDescent="0.25"/>
    <row r="313" spans="1:112" x14ac:dyDescent="0.25"/>
    <row r="314" spans="1:112" x14ac:dyDescent="0.25"/>
    <row r="315" spans="1:112" x14ac:dyDescent="0.25"/>
    <row r="316" spans="1:112" x14ac:dyDescent="0.25"/>
    <row r="317" spans="1:112" x14ac:dyDescent="0.25"/>
    <row r="318" spans="1:112" x14ac:dyDescent="0.25"/>
    <row r="319" spans="1:112" x14ac:dyDescent="0.25"/>
    <row r="320" spans="1:112" x14ac:dyDescent="0.25"/>
    <row r="321" spans="1:112" x14ac:dyDescent="0.25"/>
    <row r="322" spans="1:112" x14ac:dyDescent="0.25"/>
    <row r="323" spans="1:112" x14ac:dyDescent="0.25"/>
    <row r="324" spans="1:112" x14ac:dyDescent="0.25"/>
    <row r="325" spans="1:112" x14ac:dyDescent="0.25"/>
    <row r="326" spans="1:112" x14ac:dyDescent="0.25"/>
    <row r="327" spans="1:112" x14ac:dyDescent="0.25"/>
    <row r="328" spans="1:112" x14ac:dyDescent="0.25"/>
    <row r="329" spans="1:112" x14ac:dyDescent="0.25"/>
    <row r="330" spans="1:112" x14ac:dyDescent="0.25"/>
    <row r="331" spans="1:112" x14ac:dyDescent="0.25"/>
    <row r="332" spans="1:112" x14ac:dyDescent="0.25"/>
    <row r="333" spans="1:112" x14ac:dyDescent="0.25"/>
    <row r="334" spans="1:112" x14ac:dyDescent="0.25"/>
    <row r="335" spans="1:112" x14ac:dyDescent="0.25"/>
    <row r="336" spans="1:112" x14ac:dyDescent="0.25"/>
    <row r="337" spans="1:112" x14ac:dyDescent="0.25"/>
    <row r="338" spans="1:112" x14ac:dyDescent="0.25"/>
    <row r="339" spans="1:112" x14ac:dyDescent="0.25"/>
    <row r="340" spans="1:112" x14ac:dyDescent="0.25"/>
    <row r="341" spans="1:112" x14ac:dyDescent="0.25"/>
    <row r="342" spans="1:112" x14ac:dyDescent="0.25"/>
    <row r="343" spans="1:112" x14ac:dyDescent="0.25"/>
  </sheetData>
  <mergeCells count="43">
    <mergeCell ref="B1:BT1"/>
    <mergeCell ref="I7:CW7"/>
    <mergeCell ref="A7:A9"/>
    <mergeCell ref="B7:B9"/>
    <mergeCell ref="C7:C9"/>
    <mergeCell ref="D7:D9"/>
    <mergeCell ref="E7:E9"/>
    <mergeCell ref="F7:F9"/>
    <mergeCell ref="G7:G9"/>
    <mergeCell ref="H7:H9"/>
    <mergeCell ref="I8:K8"/>
    <mergeCell ref="L8:N8"/>
    <mergeCell ref="O8:Q8"/>
    <mergeCell ref="R8:T8"/>
    <mergeCell ref="U8:W8"/>
    <mergeCell ref="X8:Z8"/>
    <mergeCell ref="AA8:AC8"/>
    <mergeCell ref="AD8:AF8"/>
    <mergeCell ref="AG8:AI8"/>
    <mergeCell ref="AJ8:AL8"/>
    <mergeCell ref="AM8:AO8"/>
    <mergeCell ref="AP8:AR8"/>
    <mergeCell ref="AS8:AU8"/>
    <mergeCell ref="AV8:AX8"/>
    <mergeCell ref="AY8:BA8"/>
    <mergeCell ref="BB8:BD8"/>
    <mergeCell ref="BE8:BG8"/>
    <mergeCell ref="BH8:BJ8"/>
    <mergeCell ref="BK8:BM8"/>
    <mergeCell ref="BN8:BO8"/>
    <mergeCell ref="BQ8:BS8"/>
    <mergeCell ref="BT8:BV8"/>
    <mergeCell ref="BW8:BY8"/>
    <mergeCell ref="BZ8:CB8"/>
    <mergeCell ref="CC8:CE8"/>
    <mergeCell ref="CF8:CH8"/>
    <mergeCell ref="CI8:CK8"/>
    <mergeCell ref="CL8:CN8"/>
    <mergeCell ref="CO8:CQ8"/>
    <mergeCell ref="CR8:CT8"/>
    <mergeCell ref="CU8:CW8"/>
    <mergeCell ref="CX8:CY8"/>
    <mergeCell ref="CZ8:DA8"/>
  </mergeCells>
  <conditionalFormatting sqref="E10:H331">
    <cfRule type="expression" dxfId="1" priority="1">
      <formula>AND(COUNTIF($E$651:$E$65536,E651)+COUNTIF($E$10:$E$331,E651)&gt;1,NOT(ISBLANK(E651)))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343"/>
  <sheetViews>
    <sheetView workbookViewId="0" zoomScale="100" zoomScaleNormal="100">
      <pane xSplit="5" ySplit="10" topLeftCell="F11" activePane="bottomRight" state="frozen"/>
      <selection pane="bottomRight" activeCell="H21" sqref="H21"/>
    </sheetView>
  </sheetViews>
  <sheetFormatPr defaultRowHeight="15" outlineLevelRow="0" outlineLevelCol="0" x14ac:dyDescent="0" defaultColWidth="14.42578125"/>
  <cols>
    <col min="1" max="2" width="9.140625" customWidth="1"/>
    <col min="3" max="3" width="11.28515625" customWidth="1"/>
    <col min="4" max="4" width="7.85546875" customWidth="1"/>
    <col min="5" max="8" width="9.140625" customWidth="1"/>
    <col min="9" max="101" width="7" customWidth="1"/>
    <col min="102" max="109" width="9.140625" customWidth="1"/>
  </cols>
  <sheetData>
    <row r="1" ht="23.25" customHeight="1" spans="1:109" x14ac:dyDescent="0.2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5"/>
      <c r="X1" s="5"/>
      <c r="Y1" s="5"/>
      <c r="Z1" s="5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1"/>
      <c r="CY1" s="1"/>
      <c r="CZ1" s="1"/>
      <c r="DA1" s="1"/>
      <c r="DB1" s="1"/>
      <c r="DC1" s="1"/>
      <c r="DD1" s="1"/>
      <c r="DE1" s="1"/>
    </row>
    <row r="2" ht="3" customHeight="1" spans="1:10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</row>
    <row r="3" ht="13.5" customHeight="1" spans="1:109" x14ac:dyDescent="0.25">
      <c r="A3" s="9" t="s">
        <v>1</v>
      </c>
      <c r="B3" s="10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</row>
    <row r="4" ht="13.5" customHeight="1" spans="1:109" x14ac:dyDescent="0.25">
      <c r="A4" s="9" t="s">
        <v>2</v>
      </c>
      <c r="B4" s="9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</row>
    <row r="5" ht="13.5" customHeight="1" spans="1:109" x14ac:dyDescent="0.25">
      <c r="A5" s="9" t="s">
        <v>3</v>
      </c>
      <c r="B5" s="9" t="s">
        <v>27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</row>
    <row r="6" ht="3" customHeight="1" spans="1:109" x14ac:dyDescent="0.25">
      <c r="A6" s="11"/>
      <c r="B6" s="12"/>
      <c r="C6" s="12"/>
      <c r="D6" s="12"/>
      <c r="E6" s="12"/>
      <c r="F6" s="13"/>
      <c r="G6" s="13"/>
      <c r="H6" s="13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1"/>
      <c r="CY6" s="1"/>
      <c r="CZ6" s="1"/>
      <c r="DA6" s="1"/>
      <c r="DB6" s="1"/>
      <c r="DC6" s="1"/>
      <c r="DD6" s="1"/>
      <c r="DE6" s="1"/>
    </row>
    <row r="7" ht="15" customHeight="1" spans="1:109" x14ac:dyDescent="0.25">
      <c r="A7" s="14" t="s">
        <v>5</v>
      </c>
      <c r="B7" s="15" t="s">
        <v>6</v>
      </c>
      <c r="C7" s="15" t="s">
        <v>7</v>
      </c>
      <c r="D7" s="15" t="s">
        <v>8</v>
      </c>
      <c r="E7" s="15" t="s">
        <v>9</v>
      </c>
      <c r="F7" s="15" t="s">
        <v>10</v>
      </c>
      <c r="G7" s="15" t="s">
        <v>11</v>
      </c>
      <c r="H7" s="15" t="s">
        <v>12</v>
      </c>
      <c r="I7" s="16" t="s">
        <v>13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8"/>
      <c r="CX7" s="1"/>
      <c r="CY7" s="1"/>
      <c r="CZ7" s="1"/>
      <c r="DA7" s="1"/>
      <c r="DB7" s="1"/>
      <c r="DC7" s="1"/>
      <c r="DD7" s="1"/>
      <c r="DE7" s="1"/>
    </row>
    <row r="8" ht="13.5" customHeight="1" spans="1:109" x14ac:dyDescent="0.25">
      <c r="A8" s="19"/>
      <c r="B8" s="19"/>
      <c r="C8" s="19"/>
      <c r="D8" s="19"/>
      <c r="E8" s="19"/>
      <c r="F8" s="19"/>
      <c r="G8" s="19"/>
      <c r="H8" s="19"/>
      <c r="I8" s="16">
        <v>1</v>
      </c>
      <c r="J8" s="17"/>
      <c r="K8" s="18"/>
      <c r="L8" s="16">
        <v>2</v>
      </c>
      <c r="M8" s="17"/>
      <c r="N8" s="18"/>
      <c r="O8" s="16">
        <v>3</v>
      </c>
      <c r="P8" s="17"/>
      <c r="Q8" s="18"/>
      <c r="R8" s="16">
        <v>4</v>
      </c>
      <c r="S8" s="17"/>
      <c r="T8" s="18"/>
      <c r="U8" s="16">
        <v>5</v>
      </c>
      <c r="V8" s="17"/>
      <c r="W8" s="18"/>
      <c r="X8" s="16">
        <v>6</v>
      </c>
      <c r="Y8" s="17"/>
      <c r="Z8" s="18"/>
      <c r="AA8" s="16">
        <v>7</v>
      </c>
      <c r="AB8" s="17"/>
      <c r="AC8" s="18"/>
      <c r="AD8" s="16">
        <v>8</v>
      </c>
      <c r="AE8" s="17"/>
      <c r="AF8" s="18"/>
      <c r="AG8" s="16">
        <v>9</v>
      </c>
      <c r="AH8" s="17"/>
      <c r="AI8" s="18"/>
      <c r="AJ8" s="16">
        <v>10</v>
      </c>
      <c r="AK8" s="17"/>
      <c r="AL8" s="18"/>
      <c r="AM8" s="16">
        <v>11</v>
      </c>
      <c r="AN8" s="17"/>
      <c r="AO8" s="18"/>
      <c r="AP8" s="16">
        <v>12</v>
      </c>
      <c r="AQ8" s="17"/>
      <c r="AR8" s="18"/>
      <c r="AS8" s="16">
        <v>13</v>
      </c>
      <c r="AT8" s="17"/>
      <c r="AU8" s="18"/>
      <c r="AV8" s="16">
        <v>14</v>
      </c>
      <c r="AW8" s="17"/>
      <c r="AX8" s="18"/>
      <c r="AY8" s="16">
        <v>15</v>
      </c>
      <c r="AZ8" s="17"/>
      <c r="BA8" s="18"/>
      <c r="BB8" s="16">
        <v>16</v>
      </c>
      <c r="BC8" s="17"/>
      <c r="BD8" s="18"/>
      <c r="BE8" s="16">
        <v>17</v>
      </c>
      <c r="BF8" s="17"/>
      <c r="BG8" s="18"/>
      <c r="BH8" s="16">
        <v>18</v>
      </c>
      <c r="BI8" s="17"/>
      <c r="BJ8" s="18"/>
      <c r="BK8" s="16">
        <v>19</v>
      </c>
      <c r="BL8" s="17"/>
      <c r="BM8" s="18"/>
      <c r="BN8" s="16">
        <v>20</v>
      </c>
      <c r="BO8" s="17"/>
      <c r="BP8" s="18"/>
      <c r="BQ8" s="16">
        <v>21</v>
      </c>
      <c r="BR8" s="17"/>
      <c r="BS8" s="18"/>
      <c r="BT8" s="16">
        <v>22</v>
      </c>
      <c r="BU8" s="17"/>
      <c r="BV8" s="18"/>
      <c r="BW8" s="16">
        <v>23</v>
      </c>
      <c r="BX8" s="17"/>
      <c r="BY8" s="18"/>
      <c r="BZ8" s="16">
        <v>24</v>
      </c>
      <c r="CA8" s="17"/>
      <c r="CB8" s="18"/>
      <c r="CC8" s="16">
        <v>25</v>
      </c>
      <c r="CD8" s="17"/>
      <c r="CE8" s="18"/>
      <c r="CF8" s="16">
        <v>26</v>
      </c>
      <c r="CG8" s="17"/>
      <c r="CH8" s="18"/>
      <c r="CI8" s="16">
        <v>27</v>
      </c>
      <c r="CJ8" s="17"/>
      <c r="CK8" s="18"/>
      <c r="CL8" s="16">
        <v>28</v>
      </c>
      <c r="CM8" s="17"/>
      <c r="CN8" s="18"/>
      <c r="CO8" s="16">
        <v>29</v>
      </c>
      <c r="CP8" s="17"/>
      <c r="CQ8" s="18"/>
      <c r="CR8" s="16">
        <v>30</v>
      </c>
      <c r="CS8" s="17"/>
      <c r="CT8" s="18"/>
      <c r="CU8" s="16">
        <v>31</v>
      </c>
      <c r="CV8" s="17"/>
      <c r="CW8" s="18"/>
      <c r="CX8" s="21" t="s">
        <v>14</v>
      </c>
      <c r="CY8" s="18"/>
      <c r="CZ8" s="21" t="s">
        <v>14</v>
      </c>
      <c r="DA8" s="18"/>
      <c r="DB8" s="22"/>
      <c r="DC8" s="1"/>
      <c r="DD8" s="1"/>
      <c r="DE8" s="1"/>
    </row>
    <row r="9" ht="69" customHeight="1" spans="1:109" x14ac:dyDescent="0.25">
      <c r="A9" s="23"/>
      <c r="B9" s="23"/>
      <c r="C9" s="23"/>
      <c r="D9" s="23"/>
      <c r="E9" s="23"/>
      <c r="F9" s="23"/>
      <c r="G9" s="23"/>
      <c r="H9" s="23"/>
      <c r="I9" s="24" t="s">
        <v>15</v>
      </c>
      <c r="J9" s="25" t="s">
        <v>16</v>
      </c>
      <c r="K9" s="26" t="s">
        <v>17</v>
      </c>
      <c r="L9" s="24" t="s">
        <v>15</v>
      </c>
      <c r="M9" s="25" t="s">
        <v>16</v>
      </c>
      <c r="N9" s="26" t="s">
        <v>17</v>
      </c>
      <c r="O9" s="24" t="s">
        <v>15</v>
      </c>
      <c r="P9" s="25" t="s">
        <v>16</v>
      </c>
      <c r="Q9" s="26" t="s">
        <v>17</v>
      </c>
      <c r="R9" s="24" t="s">
        <v>15</v>
      </c>
      <c r="S9" s="25" t="s">
        <v>16</v>
      </c>
      <c r="T9" s="26" t="s">
        <v>17</v>
      </c>
      <c r="U9" s="24" t="s">
        <v>15</v>
      </c>
      <c r="V9" s="25" t="s">
        <v>16</v>
      </c>
      <c r="W9" s="26" t="s">
        <v>17</v>
      </c>
      <c r="X9" s="24" t="s">
        <v>15</v>
      </c>
      <c r="Y9" s="25" t="s">
        <v>16</v>
      </c>
      <c r="Z9" s="26" t="s">
        <v>17</v>
      </c>
      <c r="AA9" s="24" t="s">
        <v>15</v>
      </c>
      <c r="AB9" s="25" t="s">
        <v>16</v>
      </c>
      <c r="AC9" s="26" t="s">
        <v>17</v>
      </c>
      <c r="AD9" s="24" t="s">
        <v>15</v>
      </c>
      <c r="AE9" s="25" t="s">
        <v>16</v>
      </c>
      <c r="AF9" s="26" t="s">
        <v>17</v>
      </c>
      <c r="AG9" s="24" t="s">
        <v>15</v>
      </c>
      <c r="AH9" s="25" t="s">
        <v>16</v>
      </c>
      <c r="AI9" s="26" t="s">
        <v>17</v>
      </c>
      <c r="AJ9" s="24" t="s">
        <v>15</v>
      </c>
      <c r="AK9" s="25" t="s">
        <v>16</v>
      </c>
      <c r="AL9" s="26" t="s">
        <v>17</v>
      </c>
      <c r="AM9" s="24" t="s">
        <v>15</v>
      </c>
      <c r="AN9" s="25" t="s">
        <v>16</v>
      </c>
      <c r="AO9" s="26" t="s">
        <v>17</v>
      </c>
      <c r="AP9" s="24" t="s">
        <v>15</v>
      </c>
      <c r="AQ9" s="25" t="s">
        <v>16</v>
      </c>
      <c r="AR9" s="26" t="s">
        <v>17</v>
      </c>
      <c r="AS9" s="24" t="s">
        <v>15</v>
      </c>
      <c r="AT9" s="25" t="s">
        <v>16</v>
      </c>
      <c r="AU9" s="26" t="s">
        <v>17</v>
      </c>
      <c r="AV9" s="24" t="s">
        <v>15</v>
      </c>
      <c r="AW9" s="25" t="s">
        <v>16</v>
      </c>
      <c r="AX9" s="26" t="s">
        <v>17</v>
      </c>
      <c r="AY9" s="24" t="s">
        <v>15</v>
      </c>
      <c r="AZ9" s="25" t="s">
        <v>16</v>
      </c>
      <c r="BA9" s="26" t="s">
        <v>17</v>
      </c>
      <c r="BB9" s="24" t="s">
        <v>15</v>
      </c>
      <c r="BC9" s="25" t="s">
        <v>16</v>
      </c>
      <c r="BD9" s="26" t="s">
        <v>17</v>
      </c>
      <c r="BE9" s="24" t="s">
        <v>15</v>
      </c>
      <c r="BF9" s="25" t="s">
        <v>16</v>
      </c>
      <c r="BG9" s="26" t="s">
        <v>17</v>
      </c>
      <c r="BH9" s="24" t="s">
        <v>15</v>
      </c>
      <c r="BI9" s="25" t="s">
        <v>16</v>
      </c>
      <c r="BJ9" s="26" t="s">
        <v>17</v>
      </c>
      <c r="BK9" s="24" t="s">
        <v>15</v>
      </c>
      <c r="BL9" s="25" t="s">
        <v>16</v>
      </c>
      <c r="BM9" s="26" t="s">
        <v>17</v>
      </c>
      <c r="BN9" s="24" t="s">
        <v>15</v>
      </c>
      <c r="BO9" s="25" t="s">
        <v>16</v>
      </c>
      <c r="BP9" s="26" t="s">
        <v>17</v>
      </c>
      <c r="BQ9" s="24" t="s">
        <v>15</v>
      </c>
      <c r="BR9" s="25" t="s">
        <v>16</v>
      </c>
      <c r="BS9" s="26" t="s">
        <v>17</v>
      </c>
      <c r="BT9" s="24" t="s">
        <v>15</v>
      </c>
      <c r="BU9" s="25" t="s">
        <v>16</v>
      </c>
      <c r="BV9" s="26" t="s">
        <v>17</v>
      </c>
      <c r="BW9" s="24" t="s">
        <v>15</v>
      </c>
      <c r="BX9" s="25" t="s">
        <v>16</v>
      </c>
      <c r="BY9" s="26" t="s">
        <v>17</v>
      </c>
      <c r="BZ9" s="24" t="s">
        <v>15</v>
      </c>
      <c r="CA9" s="25" t="s">
        <v>16</v>
      </c>
      <c r="CB9" s="26" t="s">
        <v>17</v>
      </c>
      <c r="CC9" s="24" t="s">
        <v>15</v>
      </c>
      <c r="CD9" s="25" t="s">
        <v>16</v>
      </c>
      <c r="CE9" s="26" t="s">
        <v>17</v>
      </c>
      <c r="CF9" s="24" t="s">
        <v>15</v>
      </c>
      <c r="CG9" s="25" t="s">
        <v>16</v>
      </c>
      <c r="CH9" s="26" t="s">
        <v>17</v>
      </c>
      <c r="CI9" s="24" t="s">
        <v>15</v>
      </c>
      <c r="CJ9" s="25" t="s">
        <v>16</v>
      </c>
      <c r="CK9" s="26" t="s">
        <v>17</v>
      </c>
      <c r="CL9" s="24" t="s">
        <v>15</v>
      </c>
      <c r="CM9" s="25" t="s">
        <v>16</v>
      </c>
      <c r="CN9" s="26" t="s">
        <v>17</v>
      </c>
      <c r="CO9" s="24" t="s">
        <v>15</v>
      </c>
      <c r="CP9" s="25" t="s">
        <v>16</v>
      </c>
      <c r="CQ9" s="26" t="s">
        <v>17</v>
      </c>
      <c r="CR9" s="24" t="s">
        <v>15</v>
      </c>
      <c r="CS9" s="25" t="s">
        <v>16</v>
      </c>
      <c r="CT9" s="26" t="s">
        <v>17</v>
      </c>
      <c r="CU9" s="24" t="s">
        <v>15</v>
      </c>
      <c r="CV9" s="25" t="s">
        <v>16</v>
      </c>
      <c r="CW9" s="26" t="s">
        <v>17</v>
      </c>
      <c r="CX9" s="28" t="s">
        <v>18</v>
      </c>
      <c r="CY9" s="28" t="s">
        <v>16</v>
      </c>
      <c r="CZ9" s="28" t="s">
        <v>19</v>
      </c>
      <c r="DA9" s="28" t="s">
        <v>20</v>
      </c>
      <c r="DB9" s="29" t="s">
        <v>21</v>
      </c>
      <c r="DC9" s="29" t="s">
        <v>22</v>
      </c>
      <c r="DD9" s="28" t="s">
        <v>23</v>
      </c>
      <c r="DE9" s="28" t="s">
        <v>24</v>
      </c>
    </row>
    <row r="10" ht="15" customHeight="1" spans="1:112" x14ac:dyDescent="0.25">
      <c r="A10" s="31"/>
      <c r="B10" s="31" t="s">
        <v>25</v>
      </c>
      <c r="C10" s="31" t="s">
        <v>25</v>
      </c>
      <c r="D10" s="31" t="s">
        <v>25</v>
      </c>
      <c r="E10" s="31" t="s">
        <v>25</v>
      </c>
      <c r="F10" s="31" t="s">
        <v>25</v>
      </c>
      <c r="G10" s="31"/>
      <c r="H10" s="31" t="s">
        <v>25</v>
      </c>
      <c r="I10" s="32"/>
      <c r="J10" s="32"/>
      <c r="K10" s="32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2"/>
      <c r="BJ10" s="32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2"/>
      <c r="CN10" s="32"/>
      <c r="CO10" s="32"/>
      <c r="CP10" s="32"/>
      <c r="CQ10" s="32"/>
      <c r="CR10" s="32"/>
      <c r="CS10" s="35"/>
      <c r="CT10" s="35"/>
      <c r="CU10" s="32"/>
      <c r="CV10" s="32"/>
      <c r="CW10" s="32"/>
      <c r="CX10" s="36">
        <f>SUMIF($I$9:$AZ$9,$CR$9,$I10:$AZ10)</f>
      </c>
      <c r="CY10" s="36">
        <f>SUMIF($I$9:$AZ$9,$CV$9,$I10:$AZ10)</f>
      </c>
      <c r="CZ10" s="36">
        <f>SUMIF($BB$9:$CV$9,$CU$9,$BB10:$CV10)</f>
      </c>
      <c r="DA10" s="37">
        <f>SUMIF($BB$9:$CV$9,$CV$9,$BB10:$CV10)</f>
      </c>
      <c r="DB10" s="38">
        <f>CX10*$DB$8</f>
      </c>
      <c r="DC10" s="38">
        <f>CZ10*$DB$8</f>
      </c>
      <c r="DD10" s="38">
        <f>DB10+DC10</f>
      </c>
      <c r="DE10" s="37">
        <f>CY10+DA10</f>
      </c>
      <c r="DF10">
        <f>IF(AND(G10&gt;0,DE10&gt;0),ROUND(DD10*1000/(G10*DE10),1),"")</f>
      </c>
    </row>
    <row r="11" spans="1:112" x14ac:dyDescent="0.25"/>
    <row r="12" spans="1:112" x14ac:dyDescent="0.25"/>
    <row r="13" spans="1:112" x14ac:dyDescent="0.25"/>
    <row r="14" spans="1:112" x14ac:dyDescent="0.25"/>
    <row r="15" spans="1:112" x14ac:dyDescent="0.25"/>
    <row r="16" spans="1:112" x14ac:dyDescent="0.25"/>
    <row r="17" spans="1:112" x14ac:dyDescent="0.25"/>
    <row r="18" spans="1:112" x14ac:dyDescent="0.25"/>
    <row r="19" spans="1:112" x14ac:dyDescent="0.25"/>
    <row r="20" spans="1:112" x14ac:dyDescent="0.25"/>
    <row r="21" spans="1:112" x14ac:dyDescent="0.25"/>
    <row r="22" spans="1:112" x14ac:dyDescent="0.25"/>
    <row r="23" spans="1:112" x14ac:dyDescent="0.25"/>
    <row r="24" spans="1:112" x14ac:dyDescent="0.25"/>
    <row r="25" spans="1:112" x14ac:dyDescent="0.25"/>
    <row r="26" spans="1:112" x14ac:dyDescent="0.25"/>
    <row r="27" spans="1:112" x14ac:dyDescent="0.25"/>
    <row r="28" spans="1:112" x14ac:dyDescent="0.25"/>
    <row r="29" spans="1:112" x14ac:dyDescent="0.25"/>
    <row r="30" spans="1:112" x14ac:dyDescent="0.25"/>
    <row r="31" spans="1:112" x14ac:dyDescent="0.25"/>
    <row r="32" spans="1:112" x14ac:dyDescent="0.25"/>
    <row r="33" spans="1:112" x14ac:dyDescent="0.25"/>
    <row r="34" spans="1:112" x14ac:dyDescent="0.25"/>
    <row r="35" spans="1:112" x14ac:dyDescent="0.25"/>
    <row r="36" spans="1:112" x14ac:dyDescent="0.25"/>
    <row r="37" spans="1:112" x14ac:dyDescent="0.25"/>
    <row r="38" spans="1:112" x14ac:dyDescent="0.25"/>
    <row r="39" spans="1:112" x14ac:dyDescent="0.25"/>
    <row r="40" spans="1:112" x14ac:dyDescent="0.25"/>
    <row r="41" spans="1:112" x14ac:dyDescent="0.25"/>
    <row r="42" spans="1:112" x14ac:dyDescent="0.25"/>
    <row r="43" spans="1:112" x14ac:dyDescent="0.25"/>
    <row r="44" spans="1:112" x14ac:dyDescent="0.25"/>
    <row r="45" spans="1:112" x14ac:dyDescent="0.25"/>
    <row r="46" spans="1:112" x14ac:dyDescent="0.25"/>
    <row r="47" spans="1:112" x14ac:dyDescent="0.25"/>
    <row r="48" spans="1:112" x14ac:dyDescent="0.25"/>
    <row r="49" spans="1:112" x14ac:dyDescent="0.25"/>
    <row r="50" spans="1:112" x14ac:dyDescent="0.25"/>
    <row r="51" spans="1:112" x14ac:dyDescent="0.25"/>
    <row r="52" spans="1:112" x14ac:dyDescent="0.25"/>
    <row r="53" spans="1:112" x14ac:dyDescent="0.25"/>
    <row r="54" spans="1:112" x14ac:dyDescent="0.25"/>
    <row r="55" spans="1:112" x14ac:dyDescent="0.25"/>
    <row r="56" spans="1:112" x14ac:dyDescent="0.25"/>
    <row r="57" spans="1:112" x14ac:dyDescent="0.25"/>
    <row r="58" spans="1:112" x14ac:dyDescent="0.25"/>
    <row r="59" spans="1:112" x14ac:dyDescent="0.25"/>
    <row r="60" spans="1:112" x14ac:dyDescent="0.25"/>
    <row r="61" spans="1:112" x14ac:dyDescent="0.25"/>
    <row r="62" spans="1:112" x14ac:dyDescent="0.25"/>
    <row r="63" spans="1:112" x14ac:dyDescent="0.25"/>
    <row r="64" spans="1:112" x14ac:dyDescent="0.25"/>
    <row r="65" spans="1:112" x14ac:dyDescent="0.25"/>
    <row r="66" spans="1:112" x14ac:dyDescent="0.25"/>
    <row r="67" spans="1:112" x14ac:dyDescent="0.25"/>
    <row r="68" spans="1:112" x14ac:dyDescent="0.25"/>
    <row r="69" spans="1:112" x14ac:dyDescent="0.25"/>
    <row r="70" spans="1:112" x14ac:dyDescent="0.25"/>
    <row r="71" spans="1:112" x14ac:dyDescent="0.25"/>
    <row r="72" spans="1:112" x14ac:dyDescent="0.25"/>
    <row r="73" spans="1:112" x14ac:dyDescent="0.25"/>
    <row r="74" spans="1:112" x14ac:dyDescent="0.25"/>
    <row r="75" spans="1:112" x14ac:dyDescent="0.25"/>
    <row r="76" spans="1:112" x14ac:dyDescent="0.25"/>
    <row r="77" spans="1:112" x14ac:dyDescent="0.25"/>
    <row r="78" spans="1:112" x14ac:dyDescent="0.25"/>
    <row r="79" spans="1:112" x14ac:dyDescent="0.25"/>
    <row r="80" spans="1:112" x14ac:dyDescent="0.25"/>
    <row r="81" spans="1:112" x14ac:dyDescent="0.25"/>
    <row r="82" spans="1:112" x14ac:dyDescent="0.25"/>
    <row r="83" spans="1:112" x14ac:dyDescent="0.25"/>
    <row r="84" spans="1:112" x14ac:dyDescent="0.25"/>
    <row r="85" spans="1:112" x14ac:dyDescent="0.25"/>
    <row r="86" spans="1:112" x14ac:dyDescent="0.25"/>
    <row r="87" spans="1:112" x14ac:dyDescent="0.25"/>
    <row r="88" spans="1:112" x14ac:dyDescent="0.25"/>
    <row r="89" spans="1:112" x14ac:dyDescent="0.25"/>
    <row r="90" spans="1:112" x14ac:dyDescent="0.25"/>
    <row r="91" spans="1:112" x14ac:dyDescent="0.25"/>
    <row r="92" spans="1:112" x14ac:dyDescent="0.25"/>
    <row r="93" spans="1:112" x14ac:dyDescent="0.25"/>
    <row r="94" spans="1:112" x14ac:dyDescent="0.25"/>
    <row r="95" spans="1:112" x14ac:dyDescent="0.25"/>
    <row r="96" spans="1:112" x14ac:dyDescent="0.25"/>
    <row r="97" spans="1:112" x14ac:dyDescent="0.25"/>
    <row r="98" spans="1:112" x14ac:dyDescent="0.25"/>
    <row r="99" spans="1:112" x14ac:dyDescent="0.25"/>
    <row r="100" spans="1:112" x14ac:dyDescent="0.25"/>
    <row r="101" spans="1:112" x14ac:dyDescent="0.25"/>
    <row r="102" spans="1:112" x14ac:dyDescent="0.25"/>
    <row r="103" spans="1:112" x14ac:dyDescent="0.25"/>
    <row r="104" spans="1:112" x14ac:dyDescent="0.25"/>
    <row r="105" spans="1:112" x14ac:dyDescent="0.25"/>
    <row r="106" spans="1:112" x14ac:dyDescent="0.25"/>
    <row r="107" spans="1:112" x14ac:dyDescent="0.25"/>
    <row r="108" spans="1:112" x14ac:dyDescent="0.25"/>
    <row r="109" spans="1:112" x14ac:dyDescent="0.25"/>
    <row r="110" spans="1:112" x14ac:dyDescent="0.25"/>
    <row r="111" spans="1:112" x14ac:dyDescent="0.25"/>
    <row r="112" spans="1:112" x14ac:dyDescent="0.25"/>
    <row r="113" spans="1:112" x14ac:dyDescent="0.25"/>
    <row r="114" spans="1:112" x14ac:dyDescent="0.25"/>
    <row r="115" spans="1:112" x14ac:dyDescent="0.25"/>
    <row r="116" spans="1:112" x14ac:dyDescent="0.25"/>
    <row r="117" spans="1:112" x14ac:dyDescent="0.25"/>
    <row r="118" spans="1:112" x14ac:dyDescent="0.25"/>
    <row r="119" spans="1:112" x14ac:dyDescent="0.25"/>
    <row r="120" spans="1:112" x14ac:dyDescent="0.25"/>
    <row r="121" spans="1:112" x14ac:dyDescent="0.25"/>
    <row r="122" spans="1:112" x14ac:dyDescent="0.25"/>
    <row r="123" spans="1:112" x14ac:dyDescent="0.25"/>
    <row r="124" spans="1:112" x14ac:dyDescent="0.25"/>
    <row r="125" spans="1:112" x14ac:dyDescent="0.25"/>
    <row r="126" spans="1:112" x14ac:dyDescent="0.25"/>
    <row r="127" spans="1:112" x14ac:dyDescent="0.25"/>
    <row r="128" spans="1:112" x14ac:dyDescent="0.25"/>
    <row r="129" spans="1:112" x14ac:dyDescent="0.25"/>
    <row r="130" spans="1:112" x14ac:dyDescent="0.25"/>
    <row r="131" spans="1:112" x14ac:dyDescent="0.25"/>
    <row r="132" spans="1:112" x14ac:dyDescent="0.25"/>
    <row r="133" spans="1:112" x14ac:dyDescent="0.25"/>
    <row r="134" spans="1:112" x14ac:dyDescent="0.25"/>
    <row r="135" spans="1:112" x14ac:dyDescent="0.25"/>
    <row r="136" spans="1:112" x14ac:dyDescent="0.25"/>
    <row r="137" spans="1:112" x14ac:dyDescent="0.25"/>
    <row r="138" spans="1:112" x14ac:dyDescent="0.25"/>
    <row r="139" spans="1:112" x14ac:dyDescent="0.25"/>
    <row r="140" spans="1:112" x14ac:dyDescent="0.25"/>
    <row r="141" spans="1:112" x14ac:dyDescent="0.25"/>
    <row r="142" spans="1:112" x14ac:dyDescent="0.25"/>
    <row r="143" spans="1:112" x14ac:dyDescent="0.25"/>
    <row r="144" spans="1:112" x14ac:dyDescent="0.25"/>
    <row r="145" spans="1:112" x14ac:dyDescent="0.25"/>
    <row r="146" spans="1:112" x14ac:dyDescent="0.25"/>
    <row r="147" spans="1:112" x14ac:dyDescent="0.25"/>
    <row r="148" spans="1:112" x14ac:dyDescent="0.25"/>
    <row r="149" spans="1:112" x14ac:dyDescent="0.25"/>
    <row r="150" spans="1:112" x14ac:dyDescent="0.25"/>
    <row r="151" spans="1:112" x14ac:dyDescent="0.25"/>
    <row r="152" spans="1:112" x14ac:dyDescent="0.25"/>
    <row r="153" spans="1:112" x14ac:dyDescent="0.25"/>
    <row r="154" spans="1:112" x14ac:dyDescent="0.25"/>
    <row r="155" spans="1:112" x14ac:dyDescent="0.25"/>
    <row r="156" spans="1:112" x14ac:dyDescent="0.25"/>
    <row r="157" spans="1:112" x14ac:dyDescent="0.25"/>
    <row r="158" spans="1:112" x14ac:dyDescent="0.25"/>
    <row r="159" spans="1:112" x14ac:dyDescent="0.25"/>
    <row r="160" spans="1:112" x14ac:dyDescent="0.25"/>
    <row r="161" spans="1:112" x14ac:dyDescent="0.25"/>
    <row r="162" spans="1:112" x14ac:dyDescent="0.25"/>
    <row r="163" spans="1:112" x14ac:dyDescent="0.25"/>
    <row r="164" spans="1:112" x14ac:dyDescent="0.25"/>
    <row r="165" spans="1:112" x14ac:dyDescent="0.25"/>
    <row r="166" spans="1:112" x14ac:dyDescent="0.25"/>
    <row r="167" spans="1:112" x14ac:dyDescent="0.25"/>
    <row r="168" spans="1:112" x14ac:dyDescent="0.25"/>
    <row r="169" spans="1:112" x14ac:dyDescent="0.25"/>
    <row r="170" spans="1:112" x14ac:dyDescent="0.25"/>
    <row r="171" spans="1:112" x14ac:dyDescent="0.25"/>
    <row r="172" spans="1:112" x14ac:dyDescent="0.25"/>
    <row r="173" spans="1:112" x14ac:dyDescent="0.25"/>
    <row r="174" spans="1:112" x14ac:dyDescent="0.25"/>
    <row r="175" spans="1:112" x14ac:dyDescent="0.25"/>
    <row r="176" spans="1:112" x14ac:dyDescent="0.25"/>
    <row r="177" spans="1:112" x14ac:dyDescent="0.25"/>
    <row r="178" spans="1:112" x14ac:dyDescent="0.25"/>
    <row r="179" spans="1:112" x14ac:dyDescent="0.25"/>
    <row r="180" spans="1:112" x14ac:dyDescent="0.25"/>
    <row r="181" spans="1:112" x14ac:dyDescent="0.25"/>
    <row r="182" spans="1:112" x14ac:dyDescent="0.25"/>
    <row r="183" spans="1:112" x14ac:dyDescent="0.25"/>
    <row r="184" spans="1:112" x14ac:dyDescent="0.25"/>
    <row r="185" spans="1:112" x14ac:dyDescent="0.25"/>
    <row r="186" spans="1:112" x14ac:dyDescent="0.25"/>
    <row r="187" spans="1:112" x14ac:dyDescent="0.25"/>
    <row r="188" spans="1:112" x14ac:dyDescent="0.25"/>
    <row r="189" spans="1:112" x14ac:dyDescent="0.25"/>
    <row r="190" spans="1:112" x14ac:dyDescent="0.25"/>
    <row r="191" spans="1:112" x14ac:dyDescent="0.25"/>
    <row r="192" spans="1:112" x14ac:dyDescent="0.25"/>
    <row r="193" spans="1:112" x14ac:dyDescent="0.25"/>
    <row r="194" spans="1:112" x14ac:dyDescent="0.25"/>
    <row r="195" spans="1:112" x14ac:dyDescent="0.25"/>
    <row r="196" spans="1:112" x14ac:dyDescent="0.25"/>
    <row r="197" spans="1:112" x14ac:dyDescent="0.25"/>
    <row r="198" spans="1:112" x14ac:dyDescent="0.25"/>
    <row r="199" spans="1:112" x14ac:dyDescent="0.25"/>
    <row r="200" spans="1:112" x14ac:dyDescent="0.25"/>
    <row r="201" spans="1:112" x14ac:dyDescent="0.25"/>
    <row r="202" spans="1:112" x14ac:dyDescent="0.25"/>
    <row r="203" spans="1:112" x14ac:dyDescent="0.25"/>
    <row r="204" spans="1:112" x14ac:dyDescent="0.25"/>
    <row r="205" spans="1:112" x14ac:dyDescent="0.25"/>
    <row r="206" spans="1:112" x14ac:dyDescent="0.25"/>
    <row r="207" spans="1:112" x14ac:dyDescent="0.25"/>
    <row r="208" spans="1:112" x14ac:dyDescent="0.25"/>
    <row r="209" spans="1:112" x14ac:dyDescent="0.25"/>
    <row r="210" spans="1:112" x14ac:dyDescent="0.25"/>
    <row r="211" spans="1:112" x14ac:dyDescent="0.25"/>
    <row r="212" spans="1:112" x14ac:dyDescent="0.25"/>
    <row r="213" spans="1:112" x14ac:dyDescent="0.25"/>
    <row r="214" spans="1:112" x14ac:dyDescent="0.25"/>
    <row r="215" spans="1:112" x14ac:dyDescent="0.25"/>
    <row r="216" spans="1:112" x14ac:dyDescent="0.25"/>
    <row r="217" spans="1:112" x14ac:dyDescent="0.25"/>
    <row r="218" spans="1:112" x14ac:dyDescent="0.25"/>
    <row r="219" spans="1:112" x14ac:dyDescent="0.25"/>
    <row r="220" spans="1:112" x14ac:dyDescent="0.25"/>
    <row r="221" spans="1:112" x14ac:dyDescent="0.25"/>
    <row r="222" spans="1:112" x14ac:dyDescent="0.25"/>
    <row r="223" spans="1:112" x14ac:dyDescent="0.25"/>
    <row r="224" spans="1:112" x14ac:dyDescent="0.25"/>
    <row r="225" spans="1:112" x14ac:dyDescent="0.25"/>
    <row r="226" spans="1:112" x14ac:dyDescent="0.25"/>
    <row r="227" spans="1:112" x14ac:dyDescent="0.25"/>
    <row r="228" spans="1:112" x14ac:dyDescent="0.25"/>
    <row r="229" spans="1:112" x14ac:dyDescent="0.25"/>
    <row r="230" spans="1:112" x14ac:dyDescent="0.25"/>
    <row r="231" spans="1:112" x14ac:dyDescent="0.25"/>
    <row r="232" spans="1:112" x14ac:dyDescent="0.25"/>
    <row r="233" spans="1:112" x14ac:dyDescent="0.25"/>
    <row r="234" spans="1:112" x14ac:dyDescent="0.25"/>
    <row r="235" spans="1:112" x14ac:dyDescent="0.25"/>
    <row r="236" spans="1:112" x14ac:dyDescent="0.25"/>
    <row r="237" spans="1:112" x14ac:dyDescent="0.25"/>
    <row r="238" spans="1:112" x14ac:dyDescent="0.25"/>
    <row r="239" spans="1:112" x14ac:dyDescent="0.25"/>
    <row r="240" spans="1:112" x14ac:dyDescent="0.25"/>
    <row r="241" spans="1:112" x14ac:dyDescent="0.25"/>
    <row r="242" spans="1:112" x14ac:dyDescent="0.25"/>
    <row r="243" spans="1:112" x14ac:dyDescent="0.25"/>
    <row r="244" spans="1:112" x14ac:dyDescent="0.25"/>
    <row r="245" spans="1:112" x14ac:dyDescent="0.25"/>
    <row r="246" spans="1:112" x14ac:dyDescent="0.25"/>
    <row r="247" spans="1:112" x14ac:dyDescent="0.25"/>
    <row r="248" spans="1:112" x14ac:dyDescent="0.25"/>
    <row r="249" spans="1:112" x14ac:dyDescent="0.25"/>
    <row r="250" spans="1:112" x14ac:dyDescent="0.25"/>
    <row r="251" spans="1:112" x14ac:dyDescent="0.25"/>
    <row r="252" spans="1:112" x14ac:dyDescent="0.25"/>
    <row r="253" spans="1:112" x14ac:dyDescent="0.25"/>
    <row r="254" spans="1:112" x14ac:dyDescent="0.25"/>
    <row r="255" spans="1:112" x14ac:dyDescent="0.25"/>
    <row r="256" spans="1:112" x14ac:dyDescent="0.25"/>
    <row r="257" spans="1:112" x14ac:dyDescent="0.25"/>
    <row r="258" spans="1:112" x14ac:dyDescent="0.25"/>
    <row r="259" spans="1:112" x14ac:dyDescent="0.25"/>
    <row r="260" spans="1:112" x14ac:dyDescent="0.25"/>
    <row r="261" spans="1:112" x14ac:dyDescent="0.25"/>
    <row r="262" spans="1:112" x14ac:dyDescent="0.25"/>
    <row r="263" spans="1:112" x14ac:dyDescent="0.25"/>
    <row r="264" spans="1:112" x14ac:dyDescent="0.25"/>
    <row r="265" spans="1:112" x14ac:dyDescent="0.25"/>
    <row r="266" spans="1:112" x14ac:dyDescent="0.25"/>
    <row r="267" spans="1:112" x14ac:dyDescent="0.25"/>
    <row r="268" spans="1:112" x14ac:dyDescent="0.25"/>
    <row r="269" spans="1:112" x14ac:dyDescent="0.25"/>
    <row r="270" spans="1:112" x14ac:dyDescent="0.25"/>
    <row r="271" spans="1:112" x14ac:dyDescent="0.25"/>
    <row r="272" spans="1:112" x14ac:dyDescent="0.25"/>
    <row r="273" spans="1:112" x14ac:dyDescent="0.25"/>
    <row r="274" spans="1:112" x14ac:dyDescent="0.25"/>
    <row r="275" spans="1:112" x14ac:dyDescent="0.25"/>
    <row r="276" spans="1:112" x14ac:dyDescent="0.25"/>
    <row r="277" spans="1:112" x14ac:dyDescent="0.25"/>
    <row r="278" spans="1:112" x14ac:dyDescent="0.25"/>
    <row r="279" spans="1:112" x14ac:dyDescent="0.25"/>
    <row r="280" spans="1:112" x14ac:dyDescent="0.25"/>
    <row r="281" spans="1:112" x14ac:dyDescent="0.25"/>
    <row r="282" spans="1:112" x14ac:dyDescent="0.25"/>
    <row r="283" spans="1:112" x14ac:dyDescent="0.25"/>
    <row r="284" spans="1:112" x14ac:dyDescent="0.25"/>
    <row r="285" spans="1:112" x14ac:dyDescent="0.25"/>
    <row r="286" spans="1:112" x14ac:dyDescent="0.25"/>
    <row r="287" spans="1:112" x14ac:dyDescent="0.25"/>
    <row r="288" spans="1:112" x14ac:dyDescent="0.25"/>
    <row r="289" spans="1:112" x14ac:dyDescent="0.25"/>
    <row r="290" spans="1:112" x14ac:dyDescent="0.25"/>
    <row r="291" spans="1:112" x14ac:dyDescent="0.25"/>
    <row r="292" spans="1:112" x14ac:dyDescent="0.25"/>
    <row r="293" spans="1:112" x14ac:dyDescent="0.25"/>
    <row r="294" spans="1:112" x14ac:dyDescent="0.25"/>
    <row r="295" spans="1:112" x14ac:dyDescent="0.25"/>
    <row r="296" spans="1:112" x14ac:dyDescent="0.25"/>
    <row r="297" spans="1:112" x14ac:dyDescent="0.25"/>
    <row r="298" spans="1:112" x14ac:dyDescent="0.25"/>
    <row r="299" spans="1:112" x14ac:dyDescent="0.25"/>
    <row r="300" spans="1:112" x14ac:dyDescent="0.25"/>
    <row r="301" spans="1:112" x14ac:dyDescent="0.25"/>
    <row r="302" spans="1:112" x14ac:dyDescent="0.25"/>
    <row r="303" spans="1:112" x14ac:dyDescent="0.25"/>
    <row r="304" spans="1:112" x14ac:dyDescent="0.25"/>
    <row r="305" spans="1:112" x14ac:dyDescent="0.25"/>
    <row r="306" spans="1:112" x14ac:dyDescent="0.25"/>
    <row r="307" spans="1:112" x14ac:dyDescent="0.25"/>
    <row r="308" spans="1:112" x14ac:dyDescent="0.25"/>
    <row r="309" spans="1:112" x14ac:dyDescent="0.25"/>
    <row r="310" spans="1:112" x14ac:dyDescent="0.25"/>
    <row r="311" spans="1:112" x14ac:dyDescent="0.25"/>
    <row r="312" spans="1:112" x14ac:dyDescent="0.25"/>
    <row r="313" spans="1:112" x14ac:dyDescent="0.25"/>
    <row r="314" spans="1:112" x14ac:dyDescent="0.25"/>
    <row r="315" spans="1:112" x14ac:dyDescent="0.25"/>
    <row r="316" spans="1:112" x14ac:dyDescent="0.25"/>
    <row r="317" spans="1:112" x14ac:dyDescent="0.25"/>
    <row r="318" spans="1:112" x14ac:dyDescent="0.25"/>
    <row r="319" spans="1:112" x14ac:dyDescent="0.25"/>
    <row r="320" spans="1:112" x14ac:dyDescent="0.25"/>
    <row r="321" spans="1:112" x14ac:dyDescent="0.25"/>
    <row r="322" spans="1:112" x14ac:dyDescent="0.25"/>
    <row r="323" spans="1:112" x14ac:dyDescent="0.25"/>
    <row r="324" spans="1:112" x14ac:dyDescent="0.25"/>
    <row r="325" spans="1:112" x14ac:dyDescent="0.25"/>
    <row r="326" spans="1:112" x14ac:dyDescent="0.25"/>
    <row r="327" spans="1:112" x14ac:dyDescent="0.25"/>
    <row r="328" spans="1:112" x14ac:dyDescent="0.25"/>
    <row r="329" spans="1:112" x14ac:dyDescent="0.25"/>
    <row r="330" spans="1:112" x14ac:dyDescent="0.25"/>
    <row r="331" spans="1:112" x14ac:dyDescent="0.25"/>
    <row r="332" spans="1:112" x14ac:dyDescent="0.25"/>
    <row r="333" spans="1:112" x14ac:dyDescent="0.25"/>
    <row r="334" spans="1:112" x14ac:dyDescent="0.25"/>
    <row r="335" spans="1:112" x14ac:dyDescent="0.25"/>
    <row r="336" spans="1:112" x14ac:dyDescent="0.25"/>
    <row r="337" spans="1:112" x14ac:dyDescent="0.25"/>
    <row r="338" spans="1:112" x14ac:dyDescent="0.25"/>
    <row r="339" spans="1:112" x14ac:dyDescent="0.25"/>
    <row r="340" spans="1:112" x14ac:dyDescent="0.25"/>
    <row r="341" spans="1:112" x14ac:dyDescent="0.25"/>
    <row r="342" spans="1:112" x14ac:dyDescent="0.25"/>
    <row r="343" spans="1:112" x14ac:dyDescent="0.25"/>
  </sheetData>
  <mergeCells count="43">
    <mergeCell ref="B1:V1"/>
    <mergeCell ref="I7:CW7"/>
    <mergeCell ref="A7:A9"/>
    <mergeCell ref="B7:B9"/>
    <mergeCell ref="C7:C9"/>
    <mergeCell ref="D7:D9"/>
    <mergeCell ref="E7:E9"/>
    <mergeCell ref="F7:F9"/>
    <mergeCell ref="G7:G9"/>
    <mergeCell ref="H7:H9"/>
    <mergeCell ref="I8:K8"/>
    <mergeCell ref="L8:N8"/>
    <mergeCell ref="O8:Q8"/>
    <mergeCell ref="R8:T8"/>
    <mergeCell ref="U8:W8"/>
    <mergeCell ref="X8:Z8"/>
    <mergeCell ref="AA8:AC8"/>
    <mergeCell ref="AD8:AF8"/>
    <mergeCell ref="AG8:AI8"/>
    <mergeCell ref="AJ8:AL8"/>
    <mergeCell ref="AM8:AO8"/>
    <mergeCell ref="AP8:AR8"/>
    <mergeCell ref="AS8:AU8"/>
    <mergeCell ref="AV8:AX8"/>
    <mergeCell ref="AY8:BA8"/>
    <mergeCell ref="BB8:BD8"/>
    <mergeCell ref="BE8:BG8"/>
    <mergeCell ref="BH8:BJ8"/>
    <mergeCell ref="BK8:BM8"/>
    <mergeCell ref="BN8:BP8"/>
    <mergeCell ref="BQ8:BS8"/>
    <mergeCell ref="BT8:BV8"/>
    <mergeCell ref="BW8:BY8"/>
    <mergeCell ref="BZ8:CB8"/>
    <mergeCell ref="CC8:CE8"/>
    <mergeCell ref="CF8:CH8"/>
    <mergeCell ref="CI8:CK8"/>
    <mergeCell ref="CL8:CN8"/>
    <mergeCell ref="CO8:CQ8"/>
    <mergeCell ref="CR8:CT8"/>
    <mergeCell ref="CU8:CW8"/>
    <mergeCell ref="CX8:CY8"/>
    <mergeCell ref="CZ8:DA8"/>
  </mergeCells>
  <conditionalFormatting sqref="E10:H331">
    <cfRule type="expression" dxfId="2" priority="1">
      <formula>AND(COUNTIF($E$651:$E$65536,E651)+COUNTIF($E$10:$E$331,E651)&gt;1,NOT(ISBLANK(E651)))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343"/>
  <sheetViews>
    <sheetView workbookViewId="0" zoomScale="100" zoomScaleNormal="100">
      <pane xSplit="5" ySplit="10" topLeftCell="F11" activePane="bottomRight" state="frozen"/>
      <selection pane="bottomRight" activeCell="I16" sqref="I16"/>
    </sheetView>
  </sheetViews>
  <sheetFormatPr defaultRowHeight="15" outlineLevelRow="0" outlineLevelCol="0" x14ac:dyDescent="0" defaultColWidth="14.42578125"/>
  <cols>
    <col min="1" max="2" width="9.140625" customWidth="1"/>
    <col min="3" max="3" width="10.28515625" customWidth="1"/>
    <col min="4" max="4" width="6.7109375" customWidth="1"/>
    <col min="5" max="8" width="9.7109375" customWidth="1"/>
    <col min="9" max="11" width="7.5703125" customWidth="1"/>
    <col min="12" max="71" width="7.42578125" customWidth="1"/>
    <col min="72" max="72" width="6.7109375" customWidth="1"/>
    <col min="73" max="73" width="7.140625" customWidth="1"/>
    <col min="74" max="74" width="6.7109375" customWidth="1"/>
    <col min="75" max="75" width="6" customWidth="1"/>
    <col min="76" max="76" width="7.140625" customWidth="1"/>
    <col min="77" max="77" width="6.7109375" customWidth="1"/>
    <col min="78" max="78" width="6" customWidth="1"/>
    <col min="79" max="79" width="7.140625" customWidth="1"/>
    <col min="80" max="80" width="6.7109375" customWidth="1"/>
    <col min="81" max="81" width="6" customWidth="1"/>
    <col min="82" max="82" width="7.140625" customWidth="1"/>
    <col min="83" max="83" width="6.7109375" customWidth="1"/>
    <col min="84" max="84" width="6" customWidth="1"/>
    <col min="85" max="85" width="7.140625" customWidth="1"/>
    <col min="86" max="86" width="6.7109375" customWidth="1"/>
    <col min="87" max="87" width="6" customWidth="1"/>
    <col min="88" max="88" width="7.140625" customWidth="1"/>
    <col min="89" max="89" width="6.7109375" customWidth="1"/>
    <col min="90" max="101" width="7.5703125" customWidth="1"/>
    <col min="102" max="109" width="9.140625" customWidth="1"/>
  </cols>
  <sheetData>
    <row r="1" ht="18" customHeight="1" spans="1:109" x14ac:dyDescent="0.25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5"/>
      <c r="CF1" s="5"/>
      <c r="CG1" s="5"/>
      <c r="CH1" s="5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1"/>
      <c r="CY1" s="1"/>
      <c r="CZ1" s="1"/>
      <c r="DA1" s="1"/>
      <c r="DB1" s="1"/>
      <c r="DC1" s="1"/>
      <c r="DD1" s="1"/>
      <c r="DE1" s="1"/>
    </row>
    <row r="2" ht="3.75" customHeight="1" spans="1:10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43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</row>
    <row r="3" ht="13.5" customHeight="1" spans="1:109" x14ac:dyDescent="0.25">
      <c r="A3" s="9" t="s">
        <v>1</v>
      </c>
      <c r="B3" s="10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</row>
    <row r="4" ht="13.5" customHeight="1" spans="1:109" x14ac:dyDescent="0.25">
      <c r="A4" s="9" t="s">
        <v>2</v>
      </c>
      <c r="B4" s="9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</row>
    <row r="5" ht="13.5" customHeight="1" spans="1:109" x14ac:dyDescent="0.25">
      <c r="A5" s="9" t="s">
        <v>3</v>
      </c>
      <c r="B5" s="9" t="s">
        <v>28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</row>
    <row r="6" ht="1.5" customHeight="1" spans="1:109" x14ac:dyDescent="0.25">
      <c r="A6" s="11"/>
      <c r="B6" s="12"/>
      <c r="C6" s="12"/>
      <c r="D6" s="12"/>
      <c r="E6" s="12"/>
      <c r="F6" s="13"/>
      <c r="G6" s="13"/>
      <c r="H6" s="13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1"/>
      <c r="CY6" s="1"/>
      <c r="CZ6" s="1"/>
      <c r="DA6" s="1"/>
      <c r="DB6" s="1"/>
      <c r="DC6" s="1"/>
      <c r="DD6" s="1"/>
      <c r="DE6" s="1"/>
    </row>
    <row r="7" ht="15" customHeight="1" spans="1:109" x14ac:dyDescent="0.25">
      <c r="A7" s="14" t="s">
        <v>5</v>
      </c>
      <c r="B7" s="15" t="s">
        <v>6</v>
      </c>
      <c r="C7" s="15" t="s">
        <v>7</v>
      </c>
      <c r="D7" s="15" t="s">
        <v>8</v>
      </c>
      <c r="E7" s="15" t="s">
        <v>9</v>
      </c>
      <c r="F7" s="15" t="s">
        <v>10</v>
      </c>
      <c r="G7" s="15" t="s">
        <v>11</v>
      </c>
      <c r="H7" s="15" t="s">
        <v>12</v>
      </c>
      <c r="I7" s="16" t="s">
        <v>13</v>
      </c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5"/>
      <c r="CX7" s="1"/>
      <c r="CY7" s="1"/>
      <c r="CZ7" s="1"/>
      <c r="DA7" s="1"/>
      <c r="DB7" s="1"/>
      <c r="DC7" s="1"/>
      <c r="DD7" s="1"/>
      <c r="DE7" s="1"/>
    </row>
    <row r="8" ht="13.5" customHeight="1" spans="1:109" x14ac:dyDescent="0.25">
      <c r="A8" s="19"/>
      <c r="B8" s="19"/>
      <c r="C8" s="19"/>
      <c r="D8" s="19"/>
      <c r="E8" s="19"/>
      <c r="F8" s="19"/>
      <c r="G8" s="19"/>
      <c r="H8" s="19"/>
      <c r="I8" s="16">
        <v>1</v>
      </c>
      <c r="J8" s="17"/>
      <c r="K8" s="18"/>
      <c r="L8" s="16">
        <v>2</v>
      </c>
      <c r="M8" s="17"/>
      <c r="N8" s="18"/>
      <c r="O8" s="16">
        <v>3</v>
      </c>
      <c r="P8" s="17"/>
      <c r="Q8" s="18"/>
      <c r="R8" s="46">
        <v>4</v>
      </c>
      <c r="S8" s="17"/>
      <c r="T8" s="18"/>
      <c r="U8" s="16">
        <v>5</v>
      </c>
      <c r="V8" s="17"/>
      <c r="W8" s="18"/>
      <c r="X8" s="16">
        <v>6</v>
      </c>
      <c r="Y8" s="17"/>
      <c r="Z8" s="18"/>
      <c r="AA8" s="16">
        <v>7</v>
      </c>
      <c r="AB8" s="17"/>
      <c r="AC8" s="18"/>
      <c r="AD8" s="16">
        <v>8</v>
      </c>
      <c r="AE8" s="17"/>
      <c r="AF8" s="18"/>
      <c r="AG8" s="16">
        <v>9</v>
      </c>
      <c r="AH8" s="17"/>
      <c r="AI8" s="18"/>
      <c r="AJ8" s="16">
        <v>10</v>
      </c>
      <c r="AK8" s="17"/>
      <c r="AL8" s="18"/>
      <c r="AM8" s="16">
        <v>11</v>
      </c>
      <c r="AN8" s="17"/>
      <c r="AO8" s="18"/>
      <c r="AP8" s="16">
        <v>12</v>
      </c>
      <c r="AQ8" s="17"/>
      <c r="AR8" s="18"/>
      <c r="AS8" s="16">
        <v>13</v>
      </c>
      <c r="AT8" s="17"/>
      <c r="AU8" s="18"/>
      <c r="AV8" s="16">
        <v>14</v>
      </c>
      <c r="AW8" s="17"/>
      <c r="AX8" s="18"/>
      <c r="AY8" s="16">
        <v>15</v>
      </c>
      <c r="AZ8" s="17"/>
      <c r="BA8" s="18"/>
      <c r="BB8" s="16">
        <v>16</v>
      </c>
      <c r="BC8" s="17"/>
      <c r="BD8" s="18"/>
      <c r="BE8" s="16">
        <v>17</v>
      </c>
      <c r="BF8" s="17"/>
      <c r="BG8" s="18"/>
      <c r="BH8" s="16">
        <v>18</v>
      </c>
      <c r="BI8" s="17"/>
      <c r="BJ8" s="18"/>
      <c r="BK8" s="16">
        <v>19</v>
      </c>
      <c r="BL8" s="17"/>
      <c r="BM8" s="18"/>
      <c r="BN8" s="16">
        <v>20</v>
      </c>
      <c r="BO8" s="17"/>
      <c r="BP8" s="18"/>
      <c r="BQ8" s="16">
        <v>21</v>
      </c>
      <c r="BR8" s="17"/>
      <c r="BS8" s="18"/>
      <c r="BT8" s="16">
        <v>22</v>
      </c>
      <c r="BU8" s="17"/>
      <c r="BV8" s="18"/>
      <c r="BW8" s="16">
        <v>23</v>
      </c>
      <c r="BX8" s="17"/>
      <c r="BY8" s="18"/>
      <c r="BZ8" s="16">
        <v>24</v>
      </c>
      <c r="CA8" s="17"/>
      <c r="CB8" s="18"/>
      <c r="CC8" s="16">
        <v>25</v>
      </c>
      <c r="CD8" s="17"/>
      <c r="CE8" s="18"/>
      <c r="CF8" s="16">
        <v>26</v>
      </c>
      <c r="CG8" s="17"/>
      <c r="CH8" s="18"/>
      <c r="CI8" s="16">
        <v>27</v>
      </c>
      <c r="CJ8" s="17"/>
      <c r="CK8" s="18"/>
      <c r="CL8" s="16">
        <v>28</v>
      </c>
      <c r="CM8" s="17"/>
      <c r="CN8" s="18"/>
      <c r="CO8" s="16">
        <v>29</v>
      </c>
      <c r="CP8" s="17"/>
      <c r="CQ8" s="18"/>
      <c r="CR8" s="16">
        <v>30</v>
      </c>
      <c r="CS8" s="17"/>
      <c r="CT8" s="18"/>
      <c r="CU8" s="16">
        <v>31</v>
      </c>
      <c r="CV8" s="17"/>
      <c r="CW8" s="18"/>
      <c r="CX8" s="47" t="s">
        <v>14</v>
      </c>
      <c r="CY8" s="48"/>
      <c r="CZ8" s="47" t="s">
        <v>14</v>
      </c>
      <c r="DA8" s="48"/>
      <c r="DB8" s="49"/>
      <c r="DC8" s="49"/>
      <c r="DD8" s="1"/>
      <c r="DE8" s="1"/>
    </row>
    <row r="9" ht="69" customHeight="1" spans="1:109" x14ac:dyDescent="0.25">
      <c r="A9" s="23"/>
      <c r="B9" s="23"/>
      <c r="C9" s="23"/>
      <c r="D9" s="23"/>
      <c r="E9" s="23"/>
      <c r="F9" s="23"/>
      <c r="G9" s="23"/>
      <c r="H9" s="23"/>
      <c r="I9" s="24" t="s">
        <v>15</v>
      </c>
      <c r="J9" s="25" t="s">
        <v>16</v>
      </c>
      <c r="K9" s="26" t="s">
        <v>17</v>
      </c>
      <c r="L9" s="24" t="s">
        <v>15</v>
      </c>
      <c r="M9" s="25" t="s">
        <v>16</v>
      </c>
      <c r="N9" s="26" t="s">
        <v>17</v>
      </c>
      <c r="O9" s="24" t="s">
        <v>15</v>
      </c>
      <c r="P9" s="25" t="s">
        <v>16</v>
      </c>
      <c r="Q9" s="26" t="s">
        <v>17</v>
      </c>
      <c r="R9" s="50" t="s">
        <v>15</v>
      </c>
      <c r="S9" s="25" t="s">
        <v>16</v>
      </c>
      <c r="T9" s="26" t="s">
        <v>17</v>
      </c>
      <c r="U9" s="24" t="s">
        <v>15</v>
      </c>
      <c r="V9" s="25" t="s">
        <v>16</v>
      </c>
      <c r="W9" s="26" t="s">
        <v>17</v>
      </c>
      <c r="X9" s="24" t="s">
        <v>15</v>
      </c>
      <c r="Y9" s="25" t="s">
        <v>16</v>
      </c>
      <c r="Z9" s="26" t="s">
        <v>17</v>
      </c>
      <c r="AA9" s="24" t="s">
        <v>15</v>
      </c>
      <c r="AB9" s="25" t="s">
        <v>16</v>
      </c>
      <c r="AC9" s="26" t="s">
        <v>17</v>
      </c>
      <c r="AD9" s="24" t="s">
        <v>15</v>
      </c>
      <c r="AE9" s="25" t="s">
        <v>16</v>
      </c>
      <c r="AF9" s="26" t="s">
        <v>17</v>
      </c>
      <c r="AG9" s="24" t="s">
        <v>15</v>
      </c>
      <c r="AH9" s="25" t="s">
        <v>16</v>
      </c>
      <c r="AI9" s="26" t="s">
        <v>17</v>
      </c>
      <c r="AJ9" s="24" t="s">
        <v>15</v>
      </c>
      <c r="AK9" s="25" t="s">
        <v>16</v>
      </c>
      <c r="AL9" s="26" t="s">
        <v>17</v>
      </c>
      <c r="AM9" s="24" t="s">
        <v>15</v>
      </c>
      <c r="AN9" s="25" t="s">
        <v>16</v>
      </c>
      <c r="AO9" s="26" t="s">
        <v>17</v>
      </c>
      <c r="AP9" s="24" t="s">
        <v>15</v>
      </c>
      <c r="AQ9" s="25" t="s">
        <v>16</v>
      </c>
      <c r="AR9" s="26" t="s">
        <v>17</v>
      </c>
      <c r="AS9" s="24" t="s">
        <v>15</v>
      </c>
      <c r="AT9" s="25" t="s">
        <v>16</v>
      </c>
      <c r="AU9" s="26" t="s">
        <v>17</v>
      </c>
      <c r="AV9" s="24" t="s">
        <v>15</v>
      </c>
      <c r="AW9" s="25" t="s">
        <v>16</v>
      </c>
      <c r="AX9" s="26" t="s">
        <v>17</v>
      </c>
      <c r="AY9" s="24" t="s">
        <v>15</v>
      </c>
      <c r="AZ9" s="25" t="s">
        <v>16</v>
      </c>
      <c r="BA9" s="26" t="s">
        <v>17</v>
      </c>
      <c r="BB9" s="24" t="s">
        <v>15</v>
      </c>
      <c r="BC9" s="25" t="s">
        <v>16</v>
      </c>
      <c r="BD9" s="26" t="s">
        <v>17</v>
      </c>
      <c r="BE9" s="24" t="s">
        <v>15</v>
      </c>
      <c r="BF9" s="25" t="s">
        <v>16</v>
      </c>
      <c r="BG9" s="26" t="s">
        <v>17</v>
      </c>
      <c r="BH9" s="24" t="s">
        <v>15</v>
      </c>
      <c r="BI9" s="25" t="s">
        <v>16</v>
      </c>
      <c r="BJ9" s="26" t="s">
        <v>17</v>
      </c>
      <c r="BK9" s="24" t="s">
        <v>15</v>
      </c>
      <c r="BL9" s="25" t="s">
        <v>16</v>
      </c>
      <c r="BM9" s="26" t="s">
        <v>17</v>
      </c>
      <c r="BN9" s="24" t="s">
        <v>15</v>
      </c>
      <c r="BO9" s="25" t="s">
        <v>16</v>
      </c>
      <c r="BP9" s="26" t="s">
        <v>17</v>
      </c>
      <c r="BQ9" s="24" t="s">
        <v>15</v>
      </c>
      <c r="BR9" s="25" t="s">
        <v>16</v>
      </c>
      <c r="BS9" s="26" t="s">
        <v>17</v>
      </c>
      <c r="BT9" s="24" t="s">
        <v>15</v>
      </c>
      <c r="BU9" s="25" t="s">
        <v>16</v>
      </c>
      <c r="BV9" s="26" t="s">
        <v>17</v>
      </c>
      <c r="BW9" s="24" t="s">
        <v>15</v>
      </c>
      <c r="BX9" s="25" t="s">
        <v>16</v>
      </c>
      <c r="BY9" s="26" t="s">
        <v>17</v>
      </c>
      <c r="BZ9" s="24" t="s">
        <v>15</v>
      </c>
      <c r="CA9" s="25" t="s">
        <v>16</v>
      </c>
      <c r="CB9" s="26" t="s">
        <v>17</v>
      </c>
      <c r="CC9" s="24" t="s">
        <v>15</v>
      </c>
      <c r="CD9" s="25" t="s">
        <v>16</v>
      </c>
      <c r="CE9" s="26" t="s">
        <v>17</v>
      </c>
      <c r="CF9" s="24" t="s">
        <v>15</v>
      </c>
      <c r="CG9" s="25" t="s">
        <v>16</v>
      </c>
      <c r="CH9" s="26" t="s">
        <v>17</v>
      </c>
      <c r="CI9" s="24" t="s">
        <v>15</v>
      </c>
      <c r="CJ9" s="25" t="s">
        <v>16</v>
      </c>
      <c r="CK9" s="26" t="s">
        <v>17</v>
      </c>
      <c r="CL9" s="24" t="s">
        <v>15</v>
      </c>
      <c r="CM9" s="25" t="s">
        <v>16</v>
      </c>
      <c r="CN9" s="26" t="s">
        <v>17</v>
      </c>
      <c r="CO9" s="24" t="s">
        <v>15</v>
      </c>
      <c r="CP9" s="25" t="s">
        <v>16</v>
      </c>
      <c r="CQ9" s="26" t="s">
        <v>17</v>
      </c>
      <c r="CR9" s="24" t="s">
        <v>15</v>
      </c>
      <c r="CS9" s="25" t="s">
        <v>16</v>
      </c>
      <c r="CT9" s="26" t="s">
        <v>17</v>
      </c>
      <c r="CU9" s="24" t="s">
        <v>15</v>
      </c>
      <c r="CV9" s="25" t="s">
        <v>16</v>
      </c>
      <c r="CW9" s="26" t="s">
        <v>17</v>
      </c>
      <c r="CX9" s="51" t="s">
        <v>18</v>
      </c>
      <c r="CY9" s="51" t="s">
        <v>16</v>
      </c>
      <c r="CZ9" s="51" t="s">
        <v>19</v>
      </c>
      <c r="DA9" s="51" t="s">
        <v>20</v>
      </c>
      <c r="DB9" s="51" t="s">
        <v>21</v>
      </c>
      <c r="DC9" s="51" t="s">
        <v>22</v>
      </c>
      <c r="DD9" s="51" t="s">
        <v>23</v>
      </c>
      <c r="DE9" s="51" t="s">
        <v>24</v>
      </c>
    </row>
    <row r="10" ht="14.25" customHeight="1" spans="1:112" x14ac:dyDescent="0.25">
      <c r="A10" s="31"/>
      <c r="B10" s="31" t="s">
        <v>25</v>
      </c>
      <c r="C10" s="31" t="s">
        <v>25</v>
      </c>
      <c r="D10" s="31" t="s">
        <v>25</v>
      </c>
      <c r="E10" s="31" t="s">
        <v>25</v>
      </c>
      <c r="F10" s="31" t="s">
        <v>25</v>
      </c>
      <c r="G10" s="31"/>
      <c r="H10" s="31" t="s">
        <v>25</v>
      </c>
      <c r="I10" s="35"/>
      <c r="J10" s="35"/>
      <c r="K10" s="32"/>
      <c r="L10" s="33"/>
      <c r="M10" s="33"/>
      <c r="N10" s="33"/>
      <c r="O10" s="33"/>
      <c r="P10" s="33"/>
      <c r="Q10" s="33"/>
      <c r="R10" s="33"/>
      <c r="S10" s="33"/>
      <c r="T10" s="33"/>
      <c r="U10" s="52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2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2"/>
      <c r="CN10" s="32"/>
      <c r="CO10" s="32"/>
      <c r="CP10" s="32"/>
      <c r="CQ10" s="32"/>
      <c r="CR10" s="35"/>
      <c r="CS10" s="35"/>
      <c r="CT10" s="35"/>
      <c r="CU10" s="32"/>
      <c r="CV10" s="32"/>
      <c r="CW10" s="32"/>
      <c r="CX10" s="36">
        <f>SUMIF($I$9:$AZ$9,$CR$9,$I10:$AZ10)</f>
      </c>
      <c r="CY10" s="36">
        <f>SUMIF($I$9:$AZ$9,$CV$9,$I10:$AZ10)</f>
      </c>
      <c r="CZ10" s="36">
        <f>SUMIF($BB$9:$CV$9,$CU$9,$BB10:$CV10)</f>
      </c>
      <c r="DA10" s="37">
        <f>SUMIF($BB$9:$CV$9,$CV$9,$BB10:$CV10)</f>
      </c>
      <c r="DB10" s="38">
        <f>CX10*$DB$8</f>
      </c>
      <c r="DC10" s="38">
        <f>CZ10*$DB$8</f>
      </c>
      <c r="DD10" s="38">
        <f>DB10+DC10</f>
      </c>
      <c r="DE10" s="37">
        <f>CY10+DA10</f>
      </c>
      <c r="DF10">
        <f>IF(AND(G10&gt;0,DE10&gt;0),ROUND(DD10*1000/(G10*DE10),1),"")</f>
      </c>
    </row>
    <row r="11" spans="1:112" x14ac:dyDescent="0.25"/>
    <row r="12" spans="1:112" x14ac:dyDescent="0.25"/>
    <row r="13" spans="1:112" x14ac:dyDescent="0.25"/>
    <row r="14" spans="1:112" x14ac:dyDescent="0.25"/>
    <row r="15" spans="1:112" x14ac:dyDescent="0.25"/>
    <row r="16" spans="1:112" x14ac:dyDescent="0.25"/>
    <row r="17" spans="1:112" x14ac:dyDescent="0.25"/>
    <row r="18" spans="1:112" x14ac:dyDescent="0.25"/>
    <row r="19" spans="1:112" x14ac:dyDescent="0.25"/>
    <row r="20" spans="1:112" x14ac:dyDescent="0.25"/>
    <row r="21" spans="1:112" x14ac:dyDescent="0.25"/>
    <row r="22" spans="1:112" x14ac:dyDescent="0.25"/>
    <row r="23" spans="1:112" x14ac:dyDescent="0.25"/>
    <row r="24" spans="1:112" x14ac:dyDescent="0.25"/>
    <row r="25" spans="1:112" x14ac:dyDescent="0.25"/>
    <row r="26" spans="1:112" x14ac:dyDescent="0.25"/>
    <row r="27" spans="1:112" x14ac:dyDescent="0.25"/>
    <row r="28" spans="1:112" x14ac:dyDescent="0.25"/>
    <row r="29" spans="1:112" x14ac:dyDescent="0.25"/>
    <row r="30" spans="1:112" x14ac:dyDescent="0.25"/>
    <row r="31" spans="1:112" x14ac:dyDescent="0.25"/>
    <row r="32" spans="1:112" x14ac:dyDescent="0.25"/>
    <row r="33" spans="1:112" x14ac:dyDescent="0.25"/>
    <row r="34" spans="1:112" x14ac:dyDescent="0.25"/>
    <row r="35" spans="1:112" x14ac:dyDescent="0.25"/>
    <row r="36" spans="1:112" x14ac:dyDescent="0.25"/>
    <row r="37" spans="1:112" x14ac:dyDescent="0.25"/>
    <row r="38" spans="1:112" x14ac:dyDescent="0.25"/>
    <row r="39" spans="1:112" x14ac:dyDescent="0.25"/>
    <row r="40" spans="1:112" x14ac:dyDescent="0.25"/>
    <row r="41" spans="1:112" x14ac:dyDescent="0.25"/>
    <row r="42" spans="1:112" x14ac:dyDescent="0.25"/>
    <row r="43" spans="1:112" x14ac:dyDescent="0.25"/>
    <row r="44" spans="1:112" x14ac:dyDescent="0.25"/>
    <row r="45" spans="1:112" x14ac:dyDescent="0.25"/>
    <row r="46" spans="1:112" x14ac:dyDescent="0.25"/>
    <row r="47" spans="1:112" x14ac:dyDescent="0.25"/>
    <row r="48" spans="1:112" x14ac:dyDescent="0.25"/>
    <row r="49" spans="1:112" x14ac:dyDescent="0.25"/>
    <row r="50" spans="1:112" x14ac:dyDescent="0.25"/>
    <row r="51" spans="1:112" x14ac:dyDescent="0.25"/>
    <row r="52" spans="1:112" x14ac:dyDescent="0.25"/>
    <row r="53" spans="1:112" x14ac:dyDescent="0.25"/>
    <row r="54" spans="1:112" x14ac:dyDescent="0.25"/>
    <row r="55" spans="1:112" x14ac:dyDescent="0.25"/>
    <row r="56" spans="1:112" x14ac:dyDescent="0.25"/>
    <row r="57" spans="1:112" x14ac:dyDescent="0.25"/>
    <row r="58" spans="1:112" x14ac:dyDescent="0.25"/>
    <row r="59" spans="1:112" x14ac:dyDescent="0.25"/>
    <row r="60" spans="1:112" x14ac:dyDescent="0.25"/>
    <row r="61" spans="1:112" x14ac:dyDescent="0.25"/>
    <row r="62" spans="1:112" x14ac:dyDescent="0.25"/>
    <row r="63" spans="1:112" x14ac:dyDescent="0.25"/>
    <row r="64" spans="1:112" x14ac:dyDescent="0.25"/>
    <row r="65" spans="1:112" x14ac:dyDescent="0.25"/>
    <row r="66" spans="1:112" x14ac:dyDescent="0.25"/>
    <row r="67" spans="1:112" x14ac:dyDescent="0.25"/>
    <row r="68" spans="1:112" x14ac:dyDescent="0.25"/>
    <row r="69" spans="1:112" x14ac:dyDescent="0.25"/>
    <row r="70" spans="1:112" x14ac:dyDescent="0.25"/>
    <row r="71" spans="1:112" x14ac:dyDescent="0.25"/>
    <row r="72" spans="1:112" x14ac:dyDescent="0.25"/>
    <row r="73" spans="1:112" x14ac:dyDescent="0.25"/>
    <row r="74" spans="1:112" x14ac:dyDescent="0.25"/>
    <row r="75" spans="1:112" x14ac:dyDescent="0.25"/>
    <row r="76" spans="1:112" x14ac:dyDescent="0.25"/>
    <row r="77" spans="1:112" x14ac:dyDescent="0.25"/>
    <row r="78" spans="1:112" x14ac:dyDescent="0.25"/>
    <row r="79" spans="1:112" x14ac:dyDescent="0.25"/>
    <row r="80" spans="1:112" x14ac:dyDescent="0.25"/>
    <row r="81" spans="1:112" x14ac:dyDescent="0.25"/>
    <row r="82" spans="1:112" x14ac:dyDescent="0.25"/>
    <row r="83" spans="1:112" x14ac:dyDescent="0.25"/>
    <row r="84" spans="1:112" x14ac:dyDescent="0.25"/>
    <row r="85" spans="1:112" x14ac:dyDescent="0.25"/>
    <row r="86" spans="1:112" x14ac:dyDescent="0.25"/>
    <row r="87" spans="1:112" x14ac:dyDescent="0.25"/>
    <row r="88" spans="1:112" x14ac:dyDescent="0.25"/>
    <row r="89" spans="1:112" x14ac:dyDescent="0.25"/>
    <row r="90" spans="1:112" x14ac:dyDescent="0.25"/>
    <row r="91" spans="1:112" x14ac:dyDescent="0.25"/>
    <row r="92" spans="1:112" x14ac:dyDescent="0.25"/>
    <row r="93" spans="1:112" x14ac:dyDescent="0.25"/>
    <row r="94" spans="1:112" x14ac:dyDescent="0.25"/>
    <row r="95" spans="1:112" x14ac:dyDescent="0.25"/>
    <row r="96" spans="1:112" x14ac:dyDescent="0.25"/>
    <row r="97" spans="1:112" x14ac:dyDescent="0.25"/>
    <row r="98" spans="1:112" x14ac:dyDescent="0.25"/>
    <row r="99" spans="1:112" x14ac:dyDescent="0.25"/>
    <row r="100" spans="1:112" x14ac:dyDescent="0.25"/>
    <row r="101" spans="1:112" x14ac:dyDescent="0.25"/>
    <row r="102" spans="1:112" x14ac:dyDescent="0.25"/>
    <row r="103" spans="1:112" x14ac:dyDescent="0.25"/>
    <row r="104" spans="1:112" x14ac:dyDescent="0.25"/>
    <row r="105" spans="1:112" x14ac:dyDescent="0.25"/>
    <row r="106" spans="1:112" x14ac:dyDescent="0.25"/>
    <row r="107" spans="1:112" x14ac:dyDescent="0.25"/>
    <row r="108" spans="1:112" x14ac:dyDescent="0.25"/>
    <row r="109" spans="1:112" x14ac:dyDescent="0.25"/>
    <row r="110" spans="1:112" x14ac:dyDescent="0.25"/>
    <row r="111" spans="1:112" x14ac:dyDescent="0.25"/>
    <row r="112" spans="1:112" x14ac:dyDescent="0.25"/>
    <row r="113" spans="1:112" x14ac:dyDescent="0.25"/>
    <row r="114" spans="1:112" x14ac:dyDescent="0.25"/>
    <row r="115" spans="1:112" x14ac:dyDescent="0.25"/>
    <row r="116" spans="1:112" x14ac:dyDescent="0.25"/>
    <row r="117" spans="1:112" x14ac:dyDescent="0.25"/>
    <row r="118" spans="1:112" x14ac:dyDescent="0.25"/>
    <row r="119" spans="1:112" x14ac:dyDescent="0.25"/>
    <row r="120" spans="1:112" x14ac:dyDescent="0.25"/>
    <row r="121" spans="1:112" x14ac:dyDescent="0.25"/>
    <row r="122" spans="1:112" x14ac:dyDescent="0.25"/>
    <row r="123" spans="1:112" x14ac:dyDescent="0.25"/>
    <row r="124" spans="1:112" x14ac:dyDescent="0.25"/>
    <row r="125" spans="1:112" x14ac:dyDescent="0.25"/>
    <row r="126" spans="1:112" x14ac:dyDescent="0.25"/>
    <row r="127" spans="1:112" x14ac:dyDescent="0.25"/>
    <row r="128" spans="1:112" x14ac:dyDescent="0.25"/>
    <row r="129" spans="1:112" x14ac:dyDescent="0.25"/>
    <row r="130" spans="1:112" x14ac:dyDescent="0.25"/>
    <row r="131" spans="1:112" x14ac:dyDescent="0.25"/>
    <row r="132" spans="1:112" x14ac:dyDescent="0.25"/>
    <row r="133" spans="1:112" x14ac:dyDescent="0.25"/>
    <row r="134" spans="1:112" x14ac:dyDescent="0.25"/>
    <row r="135" spans="1:112" x14ac:dyDescent="0.25"/>
    <row r="136" spans="1:112" x14ac:dyDescent="0.25"/>
    <row r="137" spans="1:112" x14ac:dyDescent="0.25"/>
    <row r="138" spans="1:112" x14ac:dyDescent="0.25"/>
    <row r="139" spans="1:112" x14ac:dyDescent="0.25"/>
    <row r="140" spans="1:112" x14ac:dyDescent="0.25"/>
    <row r="141" spans="1:112" x14ac:dyDescent="0.25"/>
    <row r="142" spans="1:112" x14ac:dyDescent="0.25"/>
    <row r="143" spans="1:112" x14ac:dyDescent="0.25"/>
    <row r="144" spans="1:112" x14ac:dyDescent="0.25"/>
    <row r="145" spans="1:112" x14ac:dyDescent="0.25"/>
    <row r="146" spans="1:112" x14ac:dyDescent="0.25"/>
    <row r="147" spans="1:112" x14ac:dyDescent="0.25"/>
    <row r="148" spans="1:112" x14ac:dyDescent="0.25"/>
    <row r="149" spans="1:112" x14ac:dyDescent="0.25"/>
    <row r="150" spans="1:112" x14ac:dyDescent="0.25"/>
    <row r="151" spans="1:112" x14ac:dyDescent="0.25"/>
    <row r="152" spans="1:112" x14ac:dyDescent="0.25"/>
    <row r="153" spans="1:112" x14ac:dyDescent="0.25"/>
    <row r="154" spans="1:112" x14ac:dyDescent="0.25"/>
    <row r="155" spans="1:112" x14ac:dyDescent="0.25"/>
    <row r="156" spans="1:112" x14ac:dyDescent="0.25"/>
    <row r="157" spans="1:112" x14ac:dyDescent="0.25"/>
    <row r="158" spans="1:112" x14ac:dyDescent="0.25"/>
    <row r="159" spans="1:112" x14ac:dyDescent="0.25"/>
    <row r="160" spans="1:112" x14ac:dyDescent="0.25"/>
    <row r="161" spans="1:112" x14ac:dyDescent="0.25"/>
    <row r="162" spans="1:112" x14ac:dyDescent="0.25"/>
    <row r="163" spans="1:112" x14ac:dyDescent="0.25"/>
    <row r="164" spans="1:112" x14ac:dyDescent="0.25"/>
    <row r="165" spans="1:112" x14ac:dyDescent="0.25"/>
    <row r="166" spans="1:112" x14ac:dyDescent="0.25"/>
    <row r="167" spans="1:112" x14ac:dyDescent="0.25"/>
    <row r="168" spans="1:112" x14ac:dyDescent="0.25"/>
    <row r="169" spans="1:112" x14ac:dyDescent="0.25"/>
    <row r="170" spans="1:112" x14ac:dyDescent="0.25"/>
    <row r="171" spans="1:112" x14ac:dyDescent="0.25"/>
    <row r="172" spans="1:112" x14ac:dyDescent="0.25"/>
    <row r="173" spans="1:112" x14ac:dyDescent="0.25"/>
    <row r="174" spans="1:112" x14ac:dyDescent="0.25"/>
    <row r="175" spans="1:112" x14ac:dyDescent="0.25"/>
    <row r="176" spans="1:112" x14ac:dyDescent="0.25"/>
    <row r="177" spans="1:112" x14ac:dyDescent="0.25"/>
    <row r="178" spans="1:112" x14ac:dyDescent="0.25"/>
    <row r="179" spans="1:112" x14ac:dyDescent="0.25"/>
    <row r="180" spans="1:112" x14ac:dyDescent="0.25"/>
    <row r="181" spans="1:112" x14ac:dyDescent="0.25"/>
    <row r="182" spans="1:112" x14ac:dyDescent="0.25"/>
    <row r="183" spans="1:112" x14ac:dyDescent="0.25"/>
    <row r="184" spans="1:112" x14ac:dyDescent="0.25"/>
    <row r="185" spans="1:112" x14ac:dyDescent="0.25"/>
    <row r="186" spans="1:112" x14ac:dyDescent="0.25"/>
    <row r="187" spans="1:112" x14ac:dyDescent="0.25"/>
    <row r="188" spans="1:112" x14ac:dyDescent="0.25"/>
    <row r="189" spans="1:112" x14ac:dyDescent="0.25"/>
    <row r="190" spans="1:112" x14ac:dyDescent="0.25"/>
    <row r="191" spans="1:112" x14ac:dyDescent="0.25"/>
    <row r="192" spans="1:112" x14ac:dyDescent="0.25"/>
    <row r="193" spans="1:112" x14ac:dyDescent="0.25"/>
    <row r="194" spans="1:112" x14ac:dyDescent="0.25"/>
    <row r="195" spans="1:112" x14ac:dyDescent="0.25"/>
    <row r="196" spans="1:112" x14ac:dyDescent="0.25"/>
    <row r="197" spans="1:112" x14ac:dyDescent="0.25"/>
    <row r="198" spans="1:112" x14ac:dyDescent="0.25"/>
    <row r="199" spans="1:112" x14ac:dyDescent="0.25"/>
    <row r="200" spans="1:112" x14ac:dyDescent="0.25"/>
    <row r="201" spans="1:112" x14ac:dyDescent="0.25"/>
    <row r="202" spans="1:112" x14ac:dyDescent="0.25"/>
    <row r="203" spans="1:112" x14ac:dyDescent="0.25"/>
    <row r="204" spans="1:112" x14ac:dyDescent="0.25"/>
    <row r="205" spans="1:112" x14ac:dyDescent="0.25"/>
    <row r="206" spans="1:112" x14ac:dyDescent="0.25"/>
    <row r="207" spans="1:112" x14ac:dyDescent="0.25"/>
    <row r="208" spans="1:112" x14ac:dyDescent="0.25"/>
    <row r="209" spans="1:112" x14ac:dyDescent="0.25"/>
    <row r="210" spans="1:112" x14ac:dyDescent="0.25"/>
    <row r="211" spans="1:112" x14ac:dyDescent="0.25"/>
    <row r="212" spans="1:112" x14ac:dyDescent="0.25"/>
    <row r="213" spans="1:112" x14ac:dyDescent="0.25"/>
    <row r="214" spans="1:112" x14ac:dyDescent="0.25"/>
    <row r="215" spans="1:112" x14ac:dyDescent="0.25"/>
    <row r="216" spans="1:112" x14ac:dyDescent="0.25"/>
    <row r="217" spans="1:112" x14ac:dyDescent="0.25"/>
    <row r="218" spans="1:112" x14ac:dyDescent="0.25"/>
    <row r="219" spans="1:112" x14ac:dyDescent="0.25"/>
    <row r="220" spans="1:112" x14ac:dyDescent="0.25"/>
    <row r="221" spans="1:112" x14ac:dyDescent="0.25"/>
    <row r="222" spans="1:112" x14ac:dyDescent="0.25"/>
    <row r="223" spans="1:112" x14ac:dyDescent="0.25"/>
    <row r="224" spans="1:112" x14ac:dyDescent="0.25"/>
    <row r="225" spans="1:112" x14ac:dyDescent="0.25"/>
    <row r="226" spans="1:112" x14ac:dyDescent="0.25"/>
    <row r="227" spans="1:112" x14ac:dyDescent="0.25"/>
    <row r="228" spans="1:112" x14ac:dyDescent="0.25"/>
    <row r="229" spans="1:112" x14ac:dyDescent="0.25"/>
    <row r="230" spans="1:112" x14ac:dyDescent="0.25"/>
    <row r="231" spans="1:112" x14ac:dyDescent="0.25"/>
    <row r="232" spans="1:112" x14ac:dyDescent="0.25"/>
    <row r="233" spans="1:112" x14ac:dyDescent="0.25"/>
    <row r="234" spans="1:112" x14ac:dyDescent="0.25"/>
    <row r="235" spans="1:112" x14ac:dyDescent="0.25"/>
    <row r="236" spans="1:112" x14ac:dyDescent="0.25"/>
    <row r="237" spans="1:112" x14ac:dyDescent="0.25"/>
    <row r="238" spans="1:112" x14ac:dyDescent="0.25"/>
    <row r="239" spans="1:112" x14ac:dyDescent="0.25"/>
    <row r="240" spans="1:112" x14ac:dyDescent="0.25"/>
    <row r="241" spans="1:112" x14ac:dyDescent="0.25"/>
    <row r="242" spans="1:112" x14ac:dyDescent="0.25"/>
    <row r="243" spans="1:112" x14ac:dyDescent="0.25"/>
    <row r="244" spans="1:112" x14ac:dyDescent="0.25"/>
    <row r="245" spans="1:112" x14ac:dyDescent="0.25"/>
    <row r="246" spans="1:112" x14ac:dyDescent="0.25"/>
    <row r="247" spans="1:112" x14ac:dyDescent="0.25"/>
    <row r="248" spans="1:112" x14ac:dyDescent="0.25"/>
    <row r="249" spans="1:112" x14ac:dyDescent="0.25"/>
    <row r="250" spans="1:112" x14ac:dyDescent="0.25"/>
    <row r="251" spans="1:112" x14ac:dyDescent="0.25"/>
    <row r="252" spans="1:112" x14ac:dyDescent="0.25"/>
    <row r="253" spans="1:112" x14ac:dyDescent="0.25"/>
    <row r="254" spans="1:112" x14ac:dyDescent="0.25"/>
    <row r="255" spans="1:112" x14ac:dyDescent="0.25"/>
    <row r="256" spans="1:112" x14ac:dyDescent="0.25"/>
    <row r="257" spans="1:112" x14ac:dyDescent="0.25"/>
    <row r="258" spans="1:112" x14ac:dyDescent="0.25"/>
    <row r="259" spans="1:112" x14ac:dyDescent="0.25"/>
    <row r="260" spans="1:112" x14ac:dyDescent="0.25"/>
    <row r="261" spans="1:112" x14ac:dyDescent="0.25"/>
    <row r="262" spans="1:112" x14ac:dyDescent="0.25"/>
    <row r="263" spans="1:112" x14ac:dyDescent="0.25"/>
    <row r="264" spans="1:112" x14ac:dyDescent="0.25"/>
    <row r="265" spans="1:112" x14ac:dyDescent="0.25"/>
    <row r="266" spans="1:112" x14ac:dyDescent="0.25"/>
    <row r="267" spans="1:112" x14ac:dyDescent="0.25"/>
    <row r="268" spans="1:112" x14ac:dyDescent="0.25"/>
    <row r="269" spans="1:112" x14ac:dyDescent="0.25"/>
    <row r="270" spans="1:112" x14ac:dyDescent="0.25"/>
    <row r="271" spans="1:112" x14ac:dyDescent="0.25"/>
    <row r="272" spans="1:112" x14ac:dyDescent="0.25"/>
    <row r="273" spans="1:112" x14ac:dyDescent="0.25"/>
    <row r="274" spans="1:112" x14ac:dyDescent="0.25"/>
    <row r="275" spans="1:112" x14ac:dyDescent="0.25"/>
    <row r="276" spans="1:112" x14ac:dyDescent="0.25"/>
    <row r="277" spans="1:112" x14ac:dyDescent="0.25"/>
    <row r="278" spans="1:112" x14ac:dyDescent="0.25"/>
    <row r="279" spans="1:112" x14ac:dyDescent="0.25"/>
    <row r="280" spans="1:112" x14ac:dyDescent="0.25"/>
    <row r="281" spans="1:112" x14ac:dyDescent="0.25"/>
    <row r="282" spans="1:112" x14ac:dyDescent="0.25"/>
    <row r="283" spans="1:112" x14ac:dyDescent="0.25"/>
    <row r="284" spans="1:112" x14ac:dyDescent="0.25"/>
    <row r="285" spans="1:112" x14ac:dyDescent="0.25"/>
    <row r="286" spans="1:112" x14ac:dyDescent="0.25"/>
    <row r="287" spans="1:112" x14ac:dyDescent="0.25"/>
    <row r="288" spans="1:112" x14ac:dyDescent="0.25"/>
    <row r="289" spans="1:112" x14ac:dyDescent="0.25"/>
    <row r="290" spans="1:112" x14ac:dyDescent="0.25"/>
    <row r="291" spans="1:112" x14ac:dyDescent="0.25"/>
    <row r="292" spans="1:112" x14ac:dyDescent="0.25"/>
    <row r="293" spans="1:112" x14ac:dyDescent="0.25"/>
    <row r="294" spans="1:112" x14ac:dyDescent="0.25"/>
    <row r="295" spans="1:112" x14ac:dyDescent="0.25"/>
    <row r="296" spans="1:112" x14ac:dyDescent="0.25"/>
    <row r="297" spans="1:112" x14ac:dyDescent="0.25"/>
    <row r="298" spans="1:112" x14ac:dyDescent="0.25"/>
    <row r="299" spans="1:112" x14ac:dyDescent="0.25"/>
    <row r="300" spans="1:112" x14ac:dyDescent="0.25"/>
    <row r="301" spans="1:112" x14ac:dyDescent="0.25"/>
    <row r="302" spans="1:112" x14ac:dyDescent="0.25"/>
    <row r="303" spans="1:112" x14ac:dyDescent="0.25"/>
    <row r="304" spans="1:112" x14ac:dyDescent="0.25"/>
    <row r="305" spans="1:112" x14ac:dyDescent="0.25"/>
    <row r="306" spans="1:112" x14ac:dyDescent="0.25"/>
    <row r="307" spans="1:112" x14ac:dyDescent="0.25"/>
    <row r="308" spans="1:112" x14ac:dyDescent="0.25"/>
    <row r="309" spans="1:112" x14ac:dyDescent="0.25"/>
    <row r="310" spans="1:112" x14ac:dyDescent="0.25"/>
    <row r="311" spans="1:112" x14ac:dyDescent="0.25"/>
    <row r="312" spans="1:112" x14ac:dyDescent="0.25"/>
    <row r="313" spans="1:112" x14ac:dyDescent="0.25"/>
    <row r="314" spans="1:112" x14ac:dyDescent="0.25"/>
    <row r="315" spans="1:112" x14ac:dyDescent="0.25"/>
    <row r="316" spans="1:112" x14ac:dyDescent="0.25"/>
    <row r="317" spans="1:112" x14ac:dyDescent="0.25"/>
    <row r="318" spans="1:112" x14ac:dyDescent="0.25"/>
    <row r="319" spans="1:112" x14ac:dyDescent="0.25"/>
    <row r="320" spans="1:112" x14ac:dyDescent="0.25"/>
    <row r="321" spans="1:112" x14ac:dyDescent="0.25"/>
    <row r="322" spans="1:112" x14ac:dyDescent="0.25"/>
    <row r="323" spans="1:112" x14ac:dyDescent="0.25"/>
    <row r="324" spans="1:112" x14ac:dyDescent="0.25"/>
    <row r="325" spans="1:112" x14ac:dyDescent="0.25"/>
    <row r="326" spans="1:112" x14ac:dyDescent="0.25"/>
    <row r="327" spans="1:112" x14ac:dyDescent="0.25"/>
    <row r="328" spans="1:112" x14ac:dyDescent="0.25"/>
    <row r="329" spans="1:112" x14ac:dyDescent="0.25"/>
    <row r="330" spans="1:112" x14ac:dyDescent="0.25"/>
    <row r="331" spans="1:112" x14ac:dyDescent="0.25"/>
    <row r="332" spans="1:112" x14ac:dyDescent="0.25"/>
    <row r="333" spans="1:112" x14ac:dyDescent="0.25"/>
    <row r="334" spans="1:112" x14ac:dyDescent="0.25"/>
    <row r="335" spans="1:112" x14ac:dyDescent="0.25"/>
    <row r="336" spans="1:112" x14ac:dyDescent="0.25"/>
    <row r="337" spans="1:112" x14ac:dyDescent="0.25"/>
    <row r="338" spans="1:112" x14ac:dyDescent="0.25"/>
    <row r="339" spans="1:112" x14ac:dyDescent="0.25"/>
    <row r="340" spans="1:112" x14ac:dyDescent="0.25"/>
    <row r="341" spans="1:112" x14ac:dyDescent="0.25"/>
    <row r="342" spans="1:112" x14ac:dyDescent="0.25"/>
    <row r="343" spans="1:112" x14ac:dyDescent="0.25"/>
  </sheetData>
  <mergeCells count="42">
    <mergeCell ref="B1:CD1"/>
    <mergeCell ref="A7:A9"/>
    <mergeCell ref="B7:B9"/>
    <mergeCell ref="C7:C9"/>
    <mergeCell ref="D7:D9"/>
    <mergeCell ref="E7:E9"/>
    <mergeCell ref="F7:F9"/>
    <mergeCell ref="G7:G9"/>
    <mergeCell ref="H7:H9"/>
    <mergeCell ref="I8:K8"/>
    <mergeCell ref="L8:N8"/>
    <mergeCell ref="O8:Q8"/>
    <mergeCell ref="R8:T8"/>
    <mergeCell ref="U8:W8"/>
    <mergeCell ref="X8:Z8"/>
    <mergeCell ref="AA8:AC8"/>
    <mergeCell ref="AD8:AF8"/>
    <mergeCell ref="AG8:AI8"/>
    <mergeCell ref="AJ8:AL8"/>
    <mergeCell ref="AM8:AO8"/>
    <mergeCell ref="AP8:AR8"/>
    <mergeCell ref="AS8:AU8"/>
    <mergeCell ref="AV8:AX8"/>
    <mergeCell ref="AY8:BA8"/>
    <mergeCell ref="BB8:BD8"/>
    <mergeCell ref="BE8:BG8"/>
    <mergeCell ref="BH8:BJ8"/>
    <mergeCell ref="BK8:BM8"/>
    <mergeCell ref="BN8:BP8"/>
    <mergeCell ref="BQ8:BS8"/>
    <mergeCell ref="BT8:BV8"/>
    <mergeCell ref="BW8:BY8"/>
    <mergeCell ref="BZ8:CB8"/>
    <mergeCell ref="CC8:CE8"/>
    <mergeCell ref="CF8:CH8"/>
    <mergeCell ref="CI8:CK8"/>
    <mergeCell ref="CL8:CN8"/>
    <mergeCell ref="CO8:CQ8"/>
    <mergeCell ref="CR8:CT8"/>
    <mergeCell ref="CU8:CW8"/>
    <mergeCell ref="CX8:CY8"/>
    <mergeCell ref="CZ8:DA8"/>
  </mergeCells>
  <conditionalFormatting sqref="E10:H331">
    <cfRule type="expression" dxfId="3" priority="1">
      <formula>AND(COUNTIF($E$651:$E$65536,E651)+COUNTIF($E$10:$E$331,E651)&gt;1,NOT(ISBLANK(E651)))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89"/>
  <sheetViews>
    <sheetView workbookViewId="0" zoomScale="100" zoomScaleNormal="100">
      <pane xSplit="5" ySplit="1" topLeftCell="F2" activePane="bottomRight" state="frozen"/>
      <selection pane="bottomRight" activeCell="C2" sqref="C2"/>
    </sheetView>
  </sheetViews>
  <sheetFormatPr defaultRowHeight="15" outlineLevelRow="0" outlineLevelCol="0" x14ac:dyDescent="0" defaultColWidth="14.42578125"/>
  <cols>
    <col min="1" max="2" width="8" customWidth="1"/>
    <col min="3" max="3" width="11.7109375" customWidth="1"/>
    <col min="4" max="8" width="8" customWidth="1"/>
    <col min="9" max="16" width="9.42578125" customWidth="1"/>
    <col min="17" max="26" width="8" customWidth="1"/>
  </cols>
  <sheetData>
    <row r="1" ht="69" customHeight="1" spans="1:17" x14ac:dyDescent="0.25">
      <c r="A1" s="53" t="s">
        <v>3</v>
      </c>
      <c r="B1" s="28" t="s">
        <v>6</v>
      </c>
      <c r="C1" s="28" t="s">
        <v>7</v>
      </c>
      <c r="D1" s="28" t="s">
        <v>8</v>
      </c>
      <c r="E1" s="28" t="s">
        <v>9</v>
      </c>
      <c r="F1" s="28" t="s">
        <v>10</v>
      </c>
      <c r="G1" s="28" t="s">
        <v>29</v>
      </c>
      <c r="H1" s="28" t="s">
        <v>12</v>
      </c>
      <c r="I1" s="28" t="s">
        <v>18</v>
      </c>
      <c r="J1" s="28" t="s">
        <v>30</v>
      </c>
      <c r="K1" s="28" t="s">
        <v>19</v>
      </c>
      <c r="L1" s="28" t="s">
        <v>31</v>
      </c>
      <c r="M1" s="29" t="s">
        <v>21</v>
      </c>
      <c r="N1" s="29" t="s">
        <v>22</v>
      </c>
      <c r="O1" s="28" t="s">
        <v>23</v>
      </c>
      <c r="P1" s="28" t="s">
        <v>24</v>
      </c>
      <c r="Q1" s="28" t="s">
        <v>32</v>
      </c>
    </row>
    <row r="2" ht="14.25" customHeight="1" spans="1:22" x14ac:dyDescent="0.25">
      <c r="A2" s="54" t="s">
        <v>4</v>
      </c>
      <c r="B2" s="31" t="s">
        <v>25</v>
      </c>
      <c r="C2" s="31" t="s">
        <v>25</v>
      </c>
      <c r="D2" s="31">
        <f>A!D10</f>
      </c>
      <c r="E2" s="31">
        <f>A!E10</f>
      </c>
      <c r="F2" s="31">
        <f>A!F10</f>
      </c>
      <c r="G2" s="31">
        <f>A!G10</f>
      </c>
      <c r="H2" s="31">
        <f>A!H10</f>
      </c>
      <c r="I2" s="55">
        <f>A!CX10</f>
      </c>
      <c r="J2" s="55">
        <f>A!CY10</f>
      </c>
      <c r="K2" s="55">
        <f>A!CZ10</f>
      </c>
      <c r="L2" s="55">
        <f>A!DA10</f>
      </c>
      <c r="M2" s="56">
        <f>A!DB10</f>
      </c>
      <c r="N2" s="56">
        <f>A!DC10</f>
      </c>
      <c r="O2" s="56">
        <f>A!DD10</f>
      </c>
      <c r="P2" s="55">
        <f>A!DE10</f>
      </c>
      <c r="Q2" s="55">
        <f>A!DF10</f>
      </c>
      <c r="R2" s="57">
        <f>N2-O2</f>
      </c>
      <c r="T2">
        <f>ROUND</f>
      </c>
    </row>
    <row r="3" ht="14.25" customHeight="1" spans="1:22" x14ac:dyDescent="0.25">
      <c r="A3" s="54" t="s">
        <v>26</v>
      </c>
      <c r="B3" s="31" t="s">
        <v>25</v>
      </c>
      <c r="C3" s="31" t="s">
        <v>25</v>
      </c>
      <c r="D3" s="31">
        <f>B!D10</f>
      </c>
      <c r="E3" s="31">
        <f>B!E10</f>
      </c>
      <c r="F3" s="31">
        <f>B!F10</f>
      </c>
      <c r="G3" s="31">
        <f>B!G10</f>
      </c>
      <c r="H3" s="31">
        <f>B!H10</f>
      </c>
      <c r="I3" s="55">
        <f>B!CX10</f>
      </c>
      <c r="J3" s="55">
        <f>B!CY10</f>
      </c>
      <c r="K3" s="55">
        <f>B!CZ10</f>
      </c>
      <c r="L3" s="55">
        <f>B!DA10</f>
      </c>
      <c r="M3" s="56">
        <f>B!DB10</f>
      </c>
      <c r="N3" s="56">
        <f>B!DC10</f>
      </c>
      <c r="O3" s="56">
        <f>B!DD10</f>
      </c>
      <c r="P3" s="55">
        <f>B!DE10</f>
      </c>
      <c r="Q3" s="55">
        <f>B!DF10</f>
      </c>
      <c r="R3" s="57">
        <f>N3-O3</f>
      </c>
      <c r="T3">
        <f>ROUND</f>
      </c>
    </row>
    <row r="4" ht="14.25" customHeight="1" spans="1:22" x14ac:dyDescent="0.25">
      <c r="A4" s="54" t="s">
        <v>27</v>
      </c>
      <c r="B4" s="31" t="s">
        <v>25</v>
      </c>
      <c r="C4" s="31" t="s">
        <v>25</v>
      </c>
      <c r="D4" s="31">
        <f>C!D10</f>
      </c>
      <c r="E4" s="31">
        <f>C!E10</f>
      </c>
      <c r="F4" s="31">
        <f>C!F10</f>
      </c>
      <c r="G4" s="31">
        <f>C!G10</f>
      </c>
      <c r="H4" s="31">
        <f>C!H10</f>
      </c>
      <c r="I4" s="55">
        <f>C!CX10</f>
      </c>
      <c r="J4" s="55">
        <f>C!CY10</f>
      </c>
      <c r="K4" s="55">
        <f>C!CZ10</f>
      </c>
      <c r="L4" s="55">
        <f>C!DA10</f>
      </c>
      <c r="M4" s="56">
        <f>C!DB10</f>
      </c>
      <c r="N4" s="56">
        <f>C!DC10</f>
      </c>
      <c r="O4" s="56">
        <f>C!DD10</f>
      </c>
      <c r="P4" s="55">
        <f>C!DE10</f>
      </c>
      <c r="Q4" s="55">
        <f>C!DF10</f>
      </c>
      <c r="R4" s="57">
        <f>N4-O4</f>
      </c>
      <c r="T4">
        <f>ROUND</f>
      </c>
    </row>
    <row r="5" ht="14.25" customHeight="1" spans="1:22" x14ac:dyDescent="0.25">
      <c r="A5" s="54" t="s">
        <v>28</v>
      </c>
      <c r="B5" s="31" t="s">
        <v>25</v>
      </c>
      <c r="C5" s="31" t="s">
        <v>25</v>
      </c>
      <c r="D5" s="31">
        <f>D!D10</f>
      </c>
      <c r="E5" s="31">
        <f>D!E10</f>
      </c>
      <c r="F5" s="31">
        <f>D!F10</f>
      </c>
      <c r="G5" s="31">
        <f>D!G10</f>
      </c>
      <c r="H5" s="31">
        <f>D!H10</f>
      </c>
      <c r="I5" s="55">
        <f>D!CX10</f>
      </c>
      <c r="J5" s="55">
        <f>D!CY10</f>
      </c>
      <c r="K5" s="55">
        <f>D!CZ10</f>
      </c>
      <c r="L5" s="55">
        <f>D!DA10</f>
      </c>
      <c r="M5" s="56">
        <f>D!DB10</f>
      </c>
      <c r="N5" s="56">
        <f>D!DC10</f>
      </c>
      <c r="O5" s="56">
        <f>D!DD10</f>
      </c>
      <c r="P5" s="55">
        <f>D!DE10</f>
      </c>
      <c r="Q5" s="55">
        <f>D!DF10</f>
      </c>
      <c r="R5" s="57">
        <f>N5-O5</f>
      </c>
      <c r="T5">
        <f>ROUND</f>
      </c>
    </row>
    <row r="6" spans="1:22" x14ac:dyDescent="0.25"/>
    <row r="7" spans="1:22" x14ac:dyDescent="0.25"/>
    <row r="8" spans="1:22" x14ac:dyDescent="0.25"/>
    <row r="9" spans="1:22" x14ac:dyDescent="0.25"/>
    <row r="10" spans="1:22" x14ac:dyDescent="0.25"/>
    <row r="11" spans="1:22" x14ac:dyDescent="0.25"/>
    <row r="12" spans="1:22" x14ac:dyDescent="0.25"/>
    <row r="13" spans="1:22" x14ac:dyDescent="0.25"/>
    <row r="14" spans="1:22" x14ac:dyDescent="0.25"/>
    <row r="15" spans="1:22" x14ac:dyDescent="0.25"/>
    <row r="16" spans="1:22" x14ac:dyDescent="0.25"/>
    <row r="17" spans="1:22" x14ac:dyDescent="0.25"/>
    <row r="18" spans="1:22" x14ac:dyDescent="0.25"/>
    <row r="19" spans="1:22" x14ac:dyDescent="0.25"/>
    <row r="20" spans="1:22" x14ac:dyDescent="0.25"/>
    <row r="21" spans="1:22" x14ac:dyDescent="0.25"/>
    <row r="22" spans="1:22" x14ac:dyDescent="0.25"/>
    <row r="23" spans="1:22" x14ac:dyDescent="0.25"/>
    <row r="24" spans="1:22" x14ac:dyDescent="0.25"/>
    <row r="25" spans="1:22" x14ac:dyDescent="0.25"/>
    <row r="26" spans="1:22" x14ac:dyDescent="0.25"/>
    <row r="27" spans="1:22" x14ac:dyDescent="0.25"/>
    <row r="28" spans="1:22" x14ac:dyDescent="0.25"/>
    <row r="29" spans="1:22" x14ac:dyDescent="0.25"/>
    <row r="30" spans="1:22" x14ac:dyDescent="0.25"/>
    <row r="31" spans="1:22" x14ac:dyDescent="0.25"/>
    <row r="32" spans="1:22" x14ac:dyDescent="0.25"/>
    <row r="33" spans="1:22" x14ac:dyDescent="0.25"/>
    <row r="34" spans="1:22" x14ac:dyDescent="0.25"/>
    <row r="35" spans="1:22" x14ac:dyDescent="0.25"/>
    <row r="36" spans="1:22" x14ac:dyDescent="0.25"/>
    <row r="37" spans="1:22" x14ac:dyDescent="0.25"/>
    <row r="38" spans="1:22" x14ac:dyDescent="0.25"/>
    <row r="39" spans="1:22" x14ac:dyDescent="0.25"/>
    <row r="40" spans="1:22" x14ac:dyDescent="0.25"/>
    <row r="41" spans="1:22" x14ac:dyDescent="0.25"/>
    <row r="42" spans="1:22" x14ac:dyDescent="0.25"/>
    <row r="43" spans="1:22" x14ac:dyDescent="0.25"/>
    <row r="44" spans="1:22" x14ac:dyDescent="0.25"/>
    <row r="45" spans="1:22" x14ac:dyDescent="0.25"/>
    <row r="46" spans="1:22" x14ac:dyDescent="0.25"/>
    <row r="47" spans="1:22" x14ac:dyDescent="0.25"/>
    <row r="48" spans="1:22" x14ac:dyDescent="0.25"/>
    <row r="49" spans="1:22" x14ac:dyDescent="0.25"/>
    <row r="50" spans="1:22" x14ac:dyDescent="0.25"/>
    <row r="51" spans="1:22" x14ac:dyDescent="0.25"/>
    <row r="52" spans="1:22" x14ac:dyDescent="0.25"/>
    <row r="53" spans="1:22" x14ac:dyDescent="0.25"/>
    <row r="54" spans="1:22" x14ac:dyDescent="0.25"/>
    <row r="55" spans="1:22" x14ac:dyDescent="0.25"/>
    <row r="56" spans="1:22" x14ac:dyDescent="0.25"/>
    <row r="57" spans="1:22" x14ac:dyDescent="0.25"/>
    <row r="58" spans="1:22" x14ac:dyDescent="0.25"/>
    <row r="59" spans="1:22" x14ac:dyDescent="0.25"/>
    <row r="60" spans="1:22" x14ac:dyDescent="0.25"/>
    <row r="61" spans="1:22" x14ac:dyDescent="0.25"/>
    <row r="62" spans="1:22" x14ac:dyDescent="0.25"/>
    <row r="63" spans="1:22" x14ac:dyDescent="0.25"/>
    <row r="64" spans="1:22" x14ac:dyDescent="0.25"/>
    <row r="65" spans="1:22" x14ac:dyDescent="0.25"/>
    <row r="66" spans="1:22" x14ac:dyDescent="0.25"/>
    <row r="67" spans="1:22" x14ac:dyDescent="0.25"/>
    <row r="68" spans="1:22" x14ac:dyDescent="0.25"/>
    <row r="69" spans="1:22" x14ac:dyDescent="0.25"/>
    <row r="70" spans="1:22" x14ac:dyDescent="0.25"/>
    <row r="71" spans="1:22" x14ac:dyDescent="0.25"/>
    <row r="72" spans="1:22" x14ac:dyDescent="0.25"/>
    <row r="73" spans="1:22" x14ac:dyDescent="0.25"/>
    <row r="74" spans="1:22" x14ac:dyDescent="0.25"/>
    <row r="75" spans="1:22" x14ac:dyDescent="0.25"/>
    <row r="76" spans="1:22" x14ac:dyDescent="0.25"/>
    <row r="77" spans="1:22" x14ac:dyDescent="0.25"/>
    <row r="78" spans="1:22" x14ac:dyDescent="0.25"/>
    <row r="79" spans="1:22" x14ac:dyDescent="0.25"/>
    <row r="80" spans="1:22" x14ac:dyDescent="0.25"/>
    <row r="81" spans="1:22" x14ac:dyDescent="0.25"/>
    <row r="82" spans="1:22" x14ac:dyDescent="0.25"/>
    <row r="83" spans="1:22" x14ac:dyDescent="0.25"/>
    <row r="84" spans="1:22" x14ac:dyDescent="0.25"/>
    <row r="85" spans="1:22" x14ac:dyDescent="0.25"/>
    <row r="86" spans="1:22" x14ac:dyDescent="0.25"/>
    <row r="87" spans="1:22" x14ac:dyDescent="0.25"/>
    <row r="88" spans="1:22" x14ac:dyDescent="0.25"/>
    <row r="89" spans="1:22" x14ac:dyDescent="0.25"/>
    <row r="90" spans="1:22" x14ac:dyDescent="0.25"/>
    <row r="91" spans="1:22" x14ac:dyDescent="0.25"/>
    <row r="92" spans="1:22" x14ac:dyDescent="0.25"/>
    <row r="93" spans="1:22" x14ac:dyDescent="0.25"/>
    <row r="94" spans="1:22" x14ac:dyDescent="0.25"/>
    <row r="95" spans="1:22" x14ac:dyDescent="0.25"/>
    <row r="96" spans="1:22" x14ac:dyDescent="0.25"/>
    <row r="97" spans="1:22" x14ac:dyDescent="0.25"/>
    <row r="98" spans="1:22" x14ac:dyDescent="0.25"/>
    <row r="99" spans="1:22" x14ac:dyDescent="0.25"/>
    <row r="100" spans="1:22" x14ac:dyDescent="0.25"/>
    <row r="101" spans="1:22" x14ac:dyDescent="0.25"/>
    <row r="102" spans="1:22" x14ac:dyDescent="0.25"/>
    <row r="103" spans="1:22" x14ac:dyDescent="0.25"/>
    <row r="104" spans="1:22" x14ac:dyDescent="0.25"/>
    <row r="105" spans="1:22" x14ac:dyDescent="0.25"/>
    <row r="106" spans="1:22" x14ac:dyDescent="0.25"/>
    <row r="107" spans="1:22" x14ac:dyDescent="0.25"/>
    <row r="108" spans="1:22" x14ac:dyDescent="0.25"/>
    <row r="109" spans="1:22" x14ac:dyDescent="0.25"/>
    <row r="110" spans="1:22" x14ac:dyDescent="0.25"/>
    <row r="111" spans="1:22" x14ac:dyDescent="0.25"/>
    <row r="112" spans="1:22" x14ac:dyDescent="0.25"/>
    <row r="113" spans="1:22" x14ac:dyDescent="0.25"/>
    <row r="114" spans="1:22" x14ac:dyDescent="0.25"/>
    <row r="115" spans="1:22" x14ac:dyDescent="0.25"/>
    <row r="116" spans="1:22" x14ac:dyDescent="0.25"/>
    <row r="117" spans="1:22" x14ac:dyDescent="0.25"/>
    <row r="118" spans="1:22" x14ac:dyDescent="0.25"/>
    <row r="119" spans="1:22" x14ac:dyDescent="0.25"/>
    <row r="120" spans="1:22" x14ac:dyDescent="0.25"/>
    <row r="121" spans="1:22" x14ac:dyDescent="0.25"/>
    <row r="122" spans="1:22" x14ac:dyDescent="0.25"/>
    <row r="123" spans="1:22" x14ac:dyDescent="0.25"/>
    <row r="124" spans="1:22" x14ac:dyDescent="0.25"/>
    <row r="125" spans="1:22" x14ac:dyDescent="0.25"/>
    <row r="126" spans="1:22" x14ac:dyDescent="0.25"/>
    <row r="127" spans="1:22" x14ac:dyDescent="0.25"/>
    <row r="128" spans="1:22" x14ac:dyDescent="0.25"/>
    <row r="129" spans="1:22" x14ac:dyDescent="0.25"/>
    <row r="130" spans="1:22" x14ac:dyDescent="0.25"/>
    <row r="131" spans="1:22" x14ac:dyDescent="0.25"/>
    <row r="132" spans="1:22" x14ac:dyDescent="0.25"/>
    <row r="133" spans="1:22" x14ac:dyDescent="0.25"/>
    <row r="134" spans="1:22" x14ac:dyDescent="0.25"/>
    <row r="135" spans="1:22" x14ac:dyDescent="0.25"/>
    <row r="136" spans="1:22" x14ac:dyDescent="0.25"/>
    <row r="137" spans="1:22" x14ac:dyDescent="0.25"/>
    <row r="138" spans="1:22" x14ac:dyDescent="0.25"/>
    <row r="139" spans="1:22" x14ac:dyDescent="0.25"/>
    <row r="140" spans="1:22" x14ac:dyDescent="0.25"/>
    <row r="141" spans="1:22" x14ac:dyDescent="0.25"/>
    <row r="142" spans="1:22" x14ac:dyDescent="0.25"/>
    <row r="143" spans="1:22" x14ac:dyDescent="0.25"/>
    <row r="144" spans="1:22" x14ac:dyDescent="0.25"/>
    <row r="145" spans="1:22" x14ac:dyDescent="0.25"/>
    <row r="146" spans="1:22" x14ac:dyDescent="0.25"/>
    <row r="147" spans="1:22" x14ac:dyDescent="0.25"/>
    <row r="148" spans="1:22" x14ac:dyDescent="0.25"/>
    <row r="149" spans="1:22" x14ac:dyDescent="0.25"/>
    <row r="150" spans="1:22" x14ac:dyDescent="0.25"/>
    <row r="151" spans="1:22" x14ac:dyDescent="0.25"/>
    <row r="152" spans="1:22" x14ac:dyDescent="0.25"/>
    <row r="153" spans="1:22" x14ac:dyDescent="0.25"/>
    <row r="154" spans="1:22" x14ac:dyDescent="0.25"/>
    <row r="155" spans="1:22" x14ac:dyDescent="0.25"/>
    <row r="156" spans="1:22" x14ac:dyDescent="0.25"/>
    <row r="157" spans="1:22" x14ac:dyDescent="0.25"/>
    <row r="158" spans="1:22" x14ac:dyDescent="0.25"/>
    <row r="159" spans="1:22" x14ac:dyDescent="0.25"/>
    <row r="160" spans="1:22" x14ac:dyDescent="0.25"/>
    <row r="161" spans="1:22" x14ac:dyDescent="0.25"/>
    <row r="162" spans="1:22" x14ac:dyDescent="0.25"/>
    <row r="163" spans="1:22" x14ac:dyDescent="0.25"/>
    <row r="164" spans="1:22" x14ac:dyDescent="0.25"/>
    <row r="165" spans="1:22" x14ac:dyDescent="0.25"/>
    <row r="166" spans="1:22" x14ac:dyDescent="0.25"/>
    <row r="167" spans="1:22" x14ac:dyDescent="0.25"/>
    <row r="168" spans="1:22" x14ac:dyDescent="0.25"/>
    <row r="169" spans="1:22" x14ac:dyDescent="0.25"/>
    <row r="170" spans="1:22" x14ac:dyDescent="0.25"/>
    <row r="171" spans="1:22" x14ac:dyDescent="0.25"/>
    <row r="172" spans="1:22" x14ac:dyDescent="0.25"/>
    <row r="173" spans="1:22" x14ac:dyDescent="0.25"/>
    <row r="174" spans="1:22" x14ac:dyDescent="0.25"/>
    <row r="175" spans="1:22" x14ac:dyDescent="0.25"/>
    <row r="176" spans="1:22" x14ac:dyDescent="0.25"/>
    <row r="177" spans="1:22" x14ac:dyDescent="0.25"/>
    <row r="178" spans="1:22" x14ac:dyDescent="0.25"/>
    <row r="179" spans="1:22" x14ac:dyDescent="0.25"/>
    <row r="180" spans="1:22" x14ac:dyDescent="0.25"/>
    <row r="181" spans="1:22" x14ac:dyDescent="0.25"/>
    <row r="182" spans="1:22" x14ac:dyDescent="0.25"/>
    <row r="183" spans="1:22" x14ac:dyDescent="0.25"/>
    <row r="184" spans="1:22" x14ac:dyDescent="0.25"/>
    <row r="185" spans="1:22" x14ac:dyDescent="0.25"/>
    <row r="186" spans="1:22" x14ac:dyDescent="0.25"/>
    <row r="187" spans="1:22" x14ac:dyDescent="0.25"/>
    <row r="188" spans="1:22" x14ac:dyDescent="0.25"/>
    <row r="189" spans="1:22" x14ac:dyDescent="0.25"/>
    <row r="190" spans="1:22" x14ac:dyDescent="0.25"/>
    <row r="191" spans="1:22" x14ac:dyDescent="0.25"/>
    <row r="192" spans="1:22" x14ac:dyDescent="0.25"/>
    <row r="193" spans="1:22" x14ac:dyDescent="0.25"/>
    <row r="194" spans="1:22" x14ac:dyDescent="0.25"/>
    <row r="195" spans="1:22" x14ac:dyDescent="0.25"/>
    <row r="196" spans="1:22" x14ac:dyDescent="0.25"/>
    <row r="197" spans="1:22" x14ac:dyDescent="0.25"/>
    <row r="198" spans="1:22" x14ac:dyDescent="0.25"/>
    <row r="199" spans="1:22" x14ac:dyDescent="0.25"/>
    <row r="200" spans="1:22" x14ac:dyDescent="0.25"/>
    <row r="201" spans="1:22" x14ac:dyDescent="0.25"/>
    <row r="202" spans="1:22" x14ac:dyDescent="0.25"/>
    <row r="203" spans="1:22" x14ac:dyDescent="0.25"/>
    <row r="204" spans="1:22" x14ac:dyDescent="0.25"/>
    <row r="205" spans="1:22" x14ac:dyDescent="0.25"/>
    <row r="206" spans="1:22" x14ac:dyDescent="0.25"/>
    <row r="207" spans="1:22" x14ac:dyDescent="0.25"/>
    <row r="208" spans="1:22" x14ac:dyDescent="0.25"/>
    <row r="209" spans="1:22" x14ac:dyDescent="0.25"/>
    <row r="210" spans="1:22" x14ac:dyDescent="0.25"/>
    <row r="211" spans="1:22" x14ac:dyDescent="0.25"/>
    <row r="212" spans="1:22" x14ac:dyDescent="0.25"/>
    <row r="213" spans="1:22" x14ac:dyDescent="0.25"/>
    <row r="214" spans="1:22" x14ac:dyDescent="0.25"/>
    <row r="215" spans="1:22" x14ac:dyDescent="0.25"/>
    <row r="216" spans="1:22" x14ac:dyDescent="0.25"/>
    <row r="217" spans="1:22" x14ac:dyDescent="0.25"/>
    <row r="218" spans="1:22" x14ac:dyDescent="0.25"/>
    <row r="219" spans="1:22" x14ac:dyDescent="0.25"/>
    <row r="220" spans="1:22" x14ac:dyDescent="0.25"/>
    <row r="221" spans="1:22" x14ac:dyDescent="0.25"/>
    <row r="222" spans="1:22" x14ac:dyDescent="0.25"/>
    <row r="223" spans="1:22" x14ac:dyDescent="0.25"/>
    <row r="224" spans="1:22" x14ac:dyDescent="0.25"/>
    <row r="225" spans="1:22" x14ac:dyDescent="0.25"/>
    <row r="226" spans="1:22" x14ac:dyDescent="0.25"/>
    <row r="227" spans="1:22" x14ac:dyDescent="0.25"/>
    <row r="228" spans="1:22" x14ac:dyDescent="0.25"/>
    <row r="229" spans="1:22" x14ac:dyDescent="0.25"/>
    <row r="230" spans="1:22" x14ac:dyDescent="0.25"/>
    <row r="231" spans="1:22" x14ac:dyDescent="0.25"/>
    <row r="232" spans="1:22" x14ac:dyDescent="0.25"/>
    <row r="233" spans="1:22" x14ac:dyDescent="0.25"/>
    <row r="234" spans="1:22" x14ac:dyDescent="0.25"/>
    <row r="235" spans="1:22" x14ac:dyDescent="0.25"/>
    <row r="236" spans="1:22" x14ac:dyDescent="0.25"/>
    <row r="237" spans="1:22" x14ac:dyDescent="0.25"/>
    <row r="238" spans="1:22" x14ac:dyDescent="0.25"/>
    <row r="239" spans="1:22" x14ac:dyDescent="0.25"/>
    <row r="240" spans="1:22" x14ac:dyDescent="0.25"/>
    <row r="241" spans="1:22" x14ac:dyDescent="0.25"/>
    <row r="242" spans="1:22" x14ac:dyDescent="0.25"/>
    <row r="243" spans="1:22" x14ac:dyDescent="0.25"/>
    <row r="244" spans="1:22" x14ac:dyDescent="0.25"/>
    <row r="245" spans="1:22" x14ac:dyDescent="0.25"/>
    <row r="246" spans="1:22" x14ac:dyDescent="0.25"/>
    <row r="247" spans="1:22" x14ac:dyDescent="0.25"/>
    <row r="248" spans="1:22" x14ac:dyDescent="0.25"/>
    <row r="249" spans="1:22" x14ac:dyDescent="0.25"/>
    <row r="250" spans="1:22" x14ac:dyDescent="0.25"/>
    <row r="251" spans="1:22" x14ac:dyDescent="0.25"/>
    <row r="252" spans="1:22" x14ac:dyDescent="0.25"/>
    <row r="253" spans="1:22" x14ac:dyDescent="0.25"/>
    <row r="254" spans="1:22" x14ac:dyDescent="0.25"/>
    <row r="255" spans="1:22" x14ac:dyDescent="0.25"/>
    <row r="256" spans="1:22" x14ac:dyDescent="0.25"/>
    <row r="257" spans="1:22" x14ac:dyDescent="0.25"/>
    <row r="258" spans="1:22" x14ac:dyDescent="0.25"/>
    <row r="259" spans="1:22" x14ac:dyDescent="0.25"/>
    <row r="260" spans="1:22" x14ac:dyDescent="0.25"/>
    <row r="261" spans="1:22" x14ac:dyDescent="0.25"/>
    <row r="262" spans="1:22" x14ac:dyDescent="0.25"/>
    <row r="263" spans="1:22" x14ac:dyDescent="0.25"/>
    <row r="264" spans="1:22" x14ac:dyDescent="0.25"/>
    <row r="265" spans="1:22" x14ac:dyDescent="0.25"/>
    <row r="266" spans="1:22" x14ac:dyDescent="0.25"/>
    <row r="267" spans="1:22" x14ac:dyDescent="0.25"/>
    <row r="268" spans="1:22" x14ac:dyDescent="0.25"/>
    <row r="269" spans="1:22" x14ac:dyDescent="0.25"/>
    <row r="270" spans="1:22" x14ac:dyDescent="0.25"/>
    <row r="271" spans="1:22" x14ac:dyDescent="0.25"/>
    <row r="272" spans="1:22" x14ac:dyDescent="0.25"/>
    <row r="273" spans="1:22" x14ac:dyDescent="0.25"/>
    <row r="274" spans="1:22" x14ac:dyDescent="0.25"/>
    <row r="275" spans="1:22" x14ac:dyDescent="0.25"/>
    <row r="276" spans="1:22" x14ac:dyDescent="0.25"/>
    <row r="277" spans="1:22" x14ac:dyDescent="0.25"/>
    <row r="278" spans="1:22" x14ac:dyDescent="0.25"/>
    <row r="279" spans="1:22" x14ac:dyDescent="0.25"/>
    <row r="280" spans="1:22" x14ac:dyDescent="0.25"/>
    <row r="281" spans="1:22" x14ac:dyDescent="0.25"/>
    <row r="282" spans="1:22" x14ac:dyDescent="0.25"/>
    <row r="283" spans="1:22" x14ac:dyDescent="0.25"/>
    <row r="284" spans="1:22" x14ac:dyDescent="0.25"/>
    <row r="285" spans="1:22" x14ac:dyDescent="0.25"/>
    <row r="286" spans="1:22" x14ac:dyDescent="0.25"/>
    <row r="287" spans="1:22" x14ac:dyDescent="0.25"/>
    <row r="288" spans="1:22" x14ac:dyDescent="0.25"/>
    <row r="289" spans="1:22" x14ac:dyDescent="0.25"/>
    <row r="290" spans="1:22" x14ac:dyDescent="0.25"/>
    <row r="291" spans="1:22" x14ac:dyDescent="0.25"/>
    <row r="292" spans="1:22" x14ac:dyDescent="0.25"/>
    <row r="293" spans="1:22" x14ac:dyDescent="0.25"/>
    <row r="294" spans="1:22" x14ac:dyDescent="0.25"/>
    <row r="295" spans="1:22" x14ac:dyDescent="0.25"/>
    <row r="296" spans="1:22" x14ac:dyDescent="0.25"/>
    <row r="297" spans="1:22" x14ac:dyDescent="0.25"/>
    <row r="298" spans="1:22" x14ac:dyDescent="0.25"/>
    <row r="299" spans="1:22" x14ac:dyDescent="0.25"/>
    <row r="300" spans="1:22" x14ac:dyDescent="0.25"/>
    <row r="301" spans="1:22" x14ac:dyDescent="0.25"/>
    <row r="302" spans="1:22" x14ac:dyDescent="0.25"/>
    <row r="303" spans="1:22" x14ac:dyDescent="0.25"/>
    <row r="304" spans="1:22" x14ac:dyDescent="0.25"/>
    <row r="305" spans="1:22" x14ac:dyDescent="0.25"/>
    <row r="306" spans="1:22" x14ac:dyDescent="0.25"/>
    <row r="307" spans="1:22" x14ac:dyDescent="0.25"/>
    <row r="308" spans="1:22" x14ac:dyDescent="0.25"/>
    <row r="309" spans="1:22" x14ac:dyDescent="0.25"/>
    <row r="310" spans="1:22" x14ac:dyDescent="0.25"/>
    <row r="311" spans="1:22" x14ac:dyDescent="0.25"/>
    <row r="312" spans="1:22" x14ac:dyDescent="0.25"/>
    <row r="313" spans="1:22" x14ac:dyDescent="0.25"/>
    <row r="314" spans="1:22" x14ac:dyDescent="0.25"/>
    <row r="315" spans="1:22" x14ac:dyDescent="0.25"/>
    <row r="316" spans="1:22" x14ac:dyDescent="0.25"/>
    <row r="317" spans="1:22" x14ac:dyDescent="0.25"/>
    <row r="318" spans="1:22" x14ac:dyDescent="0.25"/>
    <row r="319" spans="1:22" x14ac:dyDescent="0.25"/>
    <row r="320" spans="1:22" x14ac:dyDescent="0.25"/>
    <row r="321" spans="1:22" x14ac:dyDescent="0.25"/>
    <row r="322" spans="1:22" x14ac:dyDescent="0.25"/>
    <row r="323" spans="1:22" x14ac:dyDescent="0.25"/>
    <row r="324" spans="1:22" x14ac:dyDescent="0.25"/>
    <row r="325" spans="1:22" x14ac:dyDescent="0.25"/>
    <row r="326" spans="1:22" x14ac:dyDescent="0.25"/>
    <row r="327" spans="1:22" x14ac:dyDescent="0.25"/>
    <row r="328" spans="1:22" x14ac:dyDescent="0.25"/>
    <row r="329" spans="1:22" x14ac:dyDescent="0.25"/>
    <row r="330" spans="1:22" x14ac:dyDescent="0.25"/>
    <row r="331" spans="1:22" x14ac:dyDescent="0.25"/>
    <row r="332" spans="1:22" x14ac:dyDescent="0.25"/>
    <row r="333" spans="1:22" x14ac:dyDescent="0.25"/>
    <row r="334" spans="1:22" x14ac:dyDescent="0.25"/>
    <row r="335" spans="1:22" x14ac:dyDescent="0.25"/>
    <row r="336" spans="1:22" x14ac:dyDescent="0.25"/>
    <row r="337" spans="1:22" x14ac:dyDescent="0.25"/>
    <row r="338" spans="1:22" x14ac:dyDescent="0.25"/>
    <row r="339" spans="1:22" x14ac:dyDescent="0.25"/>
    <row r="340" spans="1:22" x14ac:dyDescent="0.25"/>
    <row r="341" spans="1:22" x14ac:dyDescent="0.25"/>
    <row r="342" spans="1:22" x14ac:dyDescent="0.25"/>
    <row r="343" spans="1:22" x14ac:dyDescent="0.25"/>
    <row r="344" spans="1:22" x14ac:dyDescent="0.25"/>
    <row r="345" spans="1:22" x14ac:dyDescent="0.25"/>
    <row r="346" spans="1:22" x14ac:dyDescent="0.25"/>
    <row r="347" spans="1:22" x14ac:dyDescent="0.25"/>
    <row r="348" spans="1:22" x14ac:dyDescent="0.25"/>
    <row r="349" spans="1:22" x14ac:dyDescent="0.25"/>
    <row r="350" spans="1:22" x14ac:dyDescent="0.25"/>
    <row r="351" spans="1:22" x14ac:dyDescent="0.25"/>
    <row r="352" spans="1:22" x14ac:dyDescent="0.25"/>
    <row r="353" spans="1:22" x14ac:dyDescent="0.25"/>
    <row r="354" spans="1:22" x14ac:dyDescent="0.25"/>
    <row r="355" spans="1:22" x14ac:dyDescent="0.25"/>
    <row r="356" spans="1:22" x14ac:dyDescent="0.25"/>
    <row r="357" spans="1:22" x14ac:dyDescent="0.25"/>
    <row r="358" spans="1:22" x14ac:dyDescent="0.25"/>
    <row r="359" spans="1:22" x14ac:dyDescent="0.25"/>
    <row r="360" spans="1:22" x14ac:dyDescent="0.25"/>
    <row r="361" spans="1:22" x14ac:dyDescent="0.25"/>
    <row r="362" spans="1:22" x14ac:dyDescent="0.25"/>
    <row r="363" spans="1:22" x14ac:dyDescent="0.25"/>
    <row r="364" spans="1:22" x14ac:dyDescent="0.25"/>
    <row r="365" spans="1:22" x14ac:dyDescent="0.25"/>
    <row r="366" spans="1:22" x14ac:dyDescent="0.25"/>
    <row r="367" spans="1:22" x14ac:dyDescent="0.25"/>
    <row r="368" spans="1:22" x14ac:dyDescent="0.25"/>
    <row r="369" spans="1:22" x14ac:dyDescent="0.25"/>
    <row r="370" spans="1:22" x14ac:dyDescent="0.25"/>
    <row r="371" spans="1:22" x14ac:dyDescent="0.25"/>
    <row r="372" spans="1:22" x14ac:dyDescent="0.25"/>
    <row r="373" spans="1:22" x14ac:dyDescent="0.25"/>
    <row r="374" spans="1:22" x14ac:dyDescent="0.25"/>
    <row r="375" spans="1:22" x14ac:dyDescent="0.25"/>
    <row r="376" spans="1:22" x14ac:dyDescent="0.25"/>
    <row r="377" spans="1:22" x14ac:dyDescent="0.25"/>
    <row r="378" spans="1:22" x14ac:dyDescent="0.25"/>
    <row r="379" spans="1:22" x14ac:dyDescent="0.25"/>
    <row r="380" spans="1:22" x14ac:dyDescent="0.25"/>
    <row r="381" spans="1:22" x14ac:dyDescent="0.25"/>
    <row r="382" spans="1:22" x14ac:dyDescent="0.25"/>
    <row r="383" spans="1:22" x14ac:dyDescent="0.25"/>
    <row r="384" spans="1:22" x14ac:dyDescent="0.25"/>
    <row r="385" spans="1:22" x14ac:dyDescent="0.25"/>
    <row r="386" spans="1:22" x14ac:dyDescent="0.25"/>
    <row r="387" spans="1:22" x14ac:dyDescent="0.25"/>
    <row r="388" spans="1:22" x14ac:dyDescent="0.25"/>
    <row r="389" spans="1:22" x14ac:dyDescent="0.25"/>
    <row r="390" spans="1:22" x14ac:dyDescent="0.25"/>
    <row r="391" spans="1:22" x14ac:dyDescent="0.25"/>
    <row r="392" spans="1:22" x14ac:dyDescent="0.25"/>
    <row r="393" spans="1:22" x14ac:dyDescent="0.25"/>
    <row r="394" spans="1:22" x14ac:dyDescent="0.25"/>
    <row r="395" spans="1:22" x14ac:dyDescent="0.25"/>
    <row r="396" spans="1:22" x14ac:dyDescent="0.25"/>
    <row r="397" spans="1:22" x14ac:dyDescent="0.25"/>
    <row r="398" spans="1:22" x14ac:dyDescent="0.25"/>
    <row r="399" spans="1:22" x14ac:dyDescent="0.25"/>
    <row r="400" spans="1:22" x14ac:dyDescent="0.25"/>
    <row r="401" spans="1:22" x14ac:dyDescent="0.25"/>
    <row r="402" spans="1:22" x14ac:dyDescent="0.25"/>
    <row r="403" spans="1:22" x14ac:dyDescent="0.25"/>
    <row r="404" spans="1:22" x14ac:dyDescent="0.25"/>
    <row r="405" spans="1:22" x14ac:dyDescent="0.25"/>
    <row r="406" spans="1:22" x14ac:dyDescent="0.25"/>
    <row r="407" spans="1:22" x14ac:dyDescent="0.25"/>
    <row r="408" spans="1:22" x14ac:dyDescent="0.25"/>
    <row r="409" spans="1:22" x14ac:dyDescent="0.25"/>
    <row r="410" spans="1:22" x14ac:dyDescent="0.25"/>
    <row r="411" spans="1:22" x14ac:dyDescent="0.25"/>
    <row r="412" spans="1:22" x14ac:dyDescent="0.25"/>
    <row r="413" spans="1:22" x14ac:dyDescent="0.25"/>
    <row r="414" spans="1:22" x14ac:dyDescent="0.25"/>
    <row r="415" spans="1:22" x14ac:dyDescent="0.25"/>
    <row r="416" spans="1:22" x14ac:dyDescent="0.25"/>
    <row r="417" spans="1:22" x14ac:dyDescent="0.25"/>
    <row r="418" spans="1:22" x14ac:dyDescent="0.25"/>
    <row r="419" spans="1:22" x14ac:dyDescent="0.25"/>
    <row r="420" spans="1:22" x14ac:dyDescent="0.25"/>
    <row r="421" spans="1:22" x14ac:dyDescent="0.25"/>
    <row r="422" spans="1:22" x14ac:dyDescent="0.25"/>
    <row r="423" spans="1:22" x14ac:dyDescent="0.25"/>
    <row r="424" spans="1:22" x14ac:dyDescent="0.25"/>
    <row r="425" spans="1:22" x14ac:dyDescent="0.25"/>
    <row r="426" spans="1:22" x14ac:dyDescent="0.25"/>
    <row r="427" spans="1:22" x14ac:dyDescent="0.25"/>
    <row r="428" spans="1:22" x14ac:dyDescent="0.25"/>
    <row r="429" spans="1:22" x14ac:dyDescent="0.25"/>
    <row r="430" spans="1:22" x14ac:dyDescent="0.25"/>
    <row r="431" spans="1:22" x14ac:dyDescent="0.25"/>
    <row r="432" spans="1:22" x14ac:dyDescent="0.25"/>
    <row r="433" spans="1:22" x14ac:dyDescent="0.25"/>
    <row r="434" spans="1:22" x14ac:dyDescent="0.25"/>
    <row r="435" spans="1:22" x14ac:dyDescent="0.25"/>
    <row r="436" spans="1:22" x14ac:dyDescent="0.25"/>
    <row r="437" spans="1:22" x14ac:dyDescent="0.25"/>
    <row r="438" spans="1:22" x14ac:dyDescent="0.25"/>
    <row r="439" spans="1:22" x14ac:dyDescent="0.25"/>
    <row r="440" spans="1:22" x14ac:dyDescent="0.25"/>
    <row r="441" spans="1:22" x14ac:dyDescent="0.25"/>
    <row r="442" spans="1:22" x14ac:dyDescent="0.25"/>
    <row r="443" spans="1:22" x14ac:dyDescent="0.25"/>
    <row r="444" spans="1:22" x14ac:dyDescent="0.25"/>
    <row r="445" spans="1:22" x14ac:dyDescent="0.25"/>
    <row r="446" spans="1:22" x14ac:dyDescent="0.25"/>
    <row r="447" spans="1:22" x14ac:dyDescent="0.25"/>
    <row r="448" spans="1:22" x14ac:dyDescent="0.25"/>
    <row r="449" spans="1:22" x14ac:dyDescent="0.25"/>
    <row r="450" spans="1:22" x14ac:dyDescent="0.25"/>
    <row r="451" spans="1:22" x14ac:dyDescent="0.25"/>
    <row r="452" spans="1:22" x14ac:dyDescent="0.25"/>
    <row r="453" spans="1:22" x14ac:dyDescent="0.25"/>
    <row r="454" spans="1:22" x14ac:dyDescent="0.25"/>
    <row r="455" spans="1:22" x14ac:dyDescent="0.25"/>
    <row r="456" spans="1:22" x14ac:dyDescent="0.25"/>
    <row r="457" spans="1:22" x14ac:dyDescent="0.25"/>
    <row r="458" spans="1:22" x14ac:dyDescent="0.25"/>
    <row r="459" spans="1:22" x14ac:dyDescent="0.25"/>
    <row r="460" spans="1:22" x14ac:dyDescent="0.25"/>
    <row r="461" spans="1:22" x14ac:dyDescent="0.25"/>
    <row r="462" spans="1:22" x14ac:dyDescent="0.25"/>
    <row r="463" spans="1:22" x14ac:dyDescent="0.25"/>
    <row r="464" spans="1:22" x14ac:dyDescent="0.25"/>
    <row r="465" spans="1:22" x14ac:dyDescent="0.25"/>
    <row r="466" spans="1:22" x14ac:dyDescent="0.25"/>
    <row r="467" spans="1:22" x14ac:dyDescent="0.25"/>
    <row r="468" spans="1:22" x14ac:dyDescent="0.25"/>
    <row r="469" spans="1:22" x14ac:dyDescent="0.25"/>
    <row r="470" spans="1:22" x14ac:dyDescent="0.25"/>
    <row r="471" spans="1:22" x14ac:dyDescent="0.25"/>
    <row r="472" spans="1:22" x14ac:dyDescent="0.25"/>
    <row r="473" spans="1:22" x14ac:dyDescent="0.25"/>
    <row r="474" spans="1:22" x14ac:dyDescent="0.25"/>
    <row r="475" spans="1:22" x14ac:dyDescent="0.25"/>
    <row r="476" spans="1:22" x14ac:dyDescent="0.25"/>
    <row r="477" spans="1:22" x14ac:dyDescent="0.25"/>
    <row r="478" spans="1:22" x14ac:dyDescent="0.25"/>
    <row r="479" spans="1:22" x14ac:dyDescent="0.25"/>
    <row r="480" spans="1:22" x14ac:dyDescent="0.25"/>
    <row r="481" spans="1:22" x14ac:dyDescent="0.25"/>
    <row r="482" spans="1:22" x14ac:dyDescent="0.25"/>
    <row r="483" spans="1:22" x14ac:dyDescent="0.25"/>
    <row r="484" spans="1:22" x14ac:dyDescent="0.25"/>
    <row r="485" spans="1:22" x14ac:dyDescent="0.25"/>
    <row r="486" spans="1:22" x14ac:dyDescent="0.25"/>
    <row r="487" spans="1:22" x14ac:dyDescent="0.25"/>
    <row r="488" spans="1:22" x14ac:dyDescent="0.25"/>
    <row r="489" spans="1:22" x14ac:dyDescent="0.25"/>
    <row r="490" spans="1:22" x14ac:dyDescent="0.25"/>
    <row r="491" spans="1:22" x14ac:dyDescent="0.25"/>
    <row r="492" spans="1:22" x14ac:dyDescent="0.25"/>
    <row r="493" spans="1:22" x14ac:dyDescent="0.25"/>
    <row r="494" spans="1:22" x14ac:dyDescent="0.25"/>
    <row r="495" spans="1:22" x14ac:dyDescent="0.25"/>
    <row r="496" spans="1:22" x14ac:dyDescent="0.25"/>
    <row r="497" spans="1:22" x14ac:dyDescent="0.25"/>
    <row r="498" spans="1:22" x14ac:dyDescent="0.25"/>
    <row r="499" spans="1:22" x14ac:dyDescent="0.25"/>
    <row r="500" spans="1:22" x14ac:dyDescent="0.25"/>
    <row r="501" spans="1:22" x14ac:dyDescent="0.25"/>
    <row r="502" spans="1:22" x14ac:dyDescent="0.25"/>
    <row r="503" spans="1:22" x14ac:dyDescent="0.25"/>
    <row r="504" spans="1:22" x14ac:dyDescent="0.25"/>
    <row r="505" spans="1:22" x14ac:dyDescent="0.25"/>
    <row r="506" spans="1:22" x14ac:dyDescent="0.25"/>
    <row r="507" spans="1:22" x14ac:dyDescent="0.25"/>
    <row r="508" spans="1:22" x14ac:dyDescent="0.25"/>
    <row r="509" spans="1:22" x14ac:dyDescent="0.25"/>
    <row r="510" spans="1:22" x14ac:dyDescent="0.25"/>
    <row r="511" spans="1:22" x14ac:dyDescent="0.25"/>
    <row r="512" spans="1:22" x14ac:dyDescent="0.25"/>
    <row r="513" spans="1:22" x14ac:dyDescent="0.25"/>
    <row r="514" spans="1:22" x14ac:dyDescent="0.25"/>
    <row r="515" spans="1:22" x14ac:dyDescent="0.25"/>
    <row r="516" spans="1:22" x14ac:dyDescent="0.25"/>
    <row r="517" spans="1:22" x14ac:dyDescent="0.25"/>
    <row r="518" spans="1:22" x14ac:dyDescent="0.25"/>
    <row r="519" spans="1:22" x14ac:dyDescent="0.25"/>
    <row r="520" spans="1:22" x14ac:dyDescent="0.25"/>
    <row r="521" spans="1:22" x14ac:dyDescent="0.25"/>
    <row r="522" spans="1:22" x14ac:dyDescent="0.25"/>
    <row r="523" spans="1:22" x14ac:dyDescent="0.25"/>
    <row r="524" spans="1:22" x14ac:dyDescent="0.25"/>
    <row r="525" spans="1:22" x14ac:dyDescent="0.25"/>
    <row r="526" spans="1:22" x14ac:dyDescent="0.25"/>
    <row r="527" spans="1:22" x14ac:dyDescent="0.25"/>
    <row r="528" spans="1:22" x14ac:dyDescent="0.25"/>
    <row r="529" spans="1:22" x14ac:dyDescent="0.25"/>
    <row r="530" spans="1:22" x14ac:dyDescent="0.25"/>
    <row r="531" spans="1:22" x14ac:dyDescent="0.25"/>
    <row r="532" spans="1:22" x14ac:dyDescent="0.25"/>
    <row r="533" spans="1:22" x14ac:dyDescent="0.25"/>
    <row r="534" spans="1:22" x14ac:dyDescent="0.25"/>
    <row r="535" spans="1:22" x14ac:dyDescent="0.25"/>
    <row r="536" spans="1:22" x14ac:dyDescent="0.25"/>
    <row r="537" spans="1:22" x14ac:dyDescent="0.25"/>
    <row r="538" spans="1:22" x14ac:dyDescent="0.25"/>
    <row r="539" spans="1:22" x14ac:dyDescent="0.25"/>
    <row r="540" spans="1:22" x14ac:dyDescent="0.25"/>
    <row r="541" spans="1:22" x14ac:dyDescent="0.25"/>
    <row r="542" spans="1:22" x14ac:dyDescent="0.25"/>
    <row r="543" spans="1:22" x14ac:dyDescent="0.25"/>
    <row r="544" spans="1:22" x14ac:dyDescent="0.25"/>
    <row r="545" spans="1:22" x14ac:dyDescent="0.25"/>
    <row r="546" spans="1:22" x14ac:dyDescent="0.25"/>
    <row r="547" spans="1:22" x14ac:dyDescent="0.25"/>
    <row r="548" spans="1:22" x14ac:dyDescent="0.25"/>
    <row r="549" spans="1:22" x14ac:dyDescent="0.25"/>
    <row r="550" spans="1:22" x14ac:dyDescent="0.25"/>
    <row r="551" spans="1:22" x14ac:dyDescent="0.25"/>
    <row r="552" spans="1:22" x14ac:dyDescent="0.25"/>
    <row r="553" spans="1:22" x14ac:dyDescent="0.25"/>
    <row r="554" spans="1:22" x14ac:dyDescent="0.25"/>
    <row r="555" spans="1:22" x14ac:dyDescent="0.25"/>
    <row r="556" spans="1:22" x14ac:dyDescent="0.25"/>
    <row r="557" spans="1:22" x14ac:dyDescent="0.25"/>
    <row r="558" spans="1:22" x14ac:dyDescent="0.25"/>
    <row r="559" spans="1:22" x14ac:dyDescent="0.25"/>
    <row r="560" spans="1:22" x14ac:dyDescent="0.25"/>
    <row r="561" spans="1:22" x14ac:dyDescent="0.25"/>
    <row r="562" spans="1:22" x14ac:dyDescent="0.25"/>
    <row r="563" spans="1:22" x14ac:dyDescent="0.25"/>
    <row r="564" spans="1:22" x14ac:dyDescent="0.25"/>
    <row r="565" spans="1:22" x14ac:dyDescent="0.25"/>
    <row r="566" spans="1:22" x14ac:dyDescent="0.25"/>
    <row r="567" spans="1:22" x14ac:dyDescent="0.25"/>
    <row r="568" spans="1:22" x14ac:dyDescent="0.25"/>
    <row r="569" spans="1:22" x14ac:dyDescent="0.25"/>
    <row r="570" spans="1:22" x14ac:dyDescent="0.25"/>
    <row r="571" spans="1:22" x14ac:dyDescent="0.25"/>
    <row r="572" spans="1:22" x14ac:dyDescent="0.25"/>
    <row r="573" spans="1:22" x14ac:dyDescent="0.25"/>
    <row r="574" spans="1:22" x14ac:dyDescent="0.25"/>
    <row r="575" spans="1:22" x14ac:dyDescent="0.25"/>
    <row r="576" spans="1:22" x14ac:dyDescent="0.25"/>
    <row r="577" spans="1:22" x14ac:dyDescent="0.25"/>
    <row r="578" spans="1:22" x14ac:dyDescent="0.25"/>
    <row r="579" spans="1:22" x14ac:dyDescent="0.25"/>
    <row r="580" spans="1:22" x14ac:dyDescent="0.25"/>
    <row r="581" spans="1:22" x14ac:dyDescent="0.25"/>
    <row r="582" spans="1:22" x14ac:dyDescent="0.25"/>
    <row r="583" spans="1:22" x14ac:dyDescent="0.25"/>
    <row r="584" spans="1:22" x14ac:dyDescent="0.25"/>
    <row r="585" spans="1:22" x14ac:dyDescent="0.25"/>
    <row r="586" spans="1:22" x14ac:dyDescent="0.25"/>
    <row r="587" spans="1:22" x14ac:dyDescent="0.25"/>
    <row r="588" spans="1:22" x14ac:dyDescent="0.25"/>
    <row r="589" spans="1:22" x14ac:dyDescent="0.25"/>
    <row r="590" spans="1:22" x14ac:dyDescent="0.25"/>
    <row r="591" spans="1:22" x14ac:dyDescent="0.25"/>
    <row r="592" spans="1:22" x14ac:dyDescent="0.25"/>
    <row r="593" spans="1:22" x14ac:dyDescent="0.25"/>
    <row r="594" spans="1:22" x14ac:dyDescent="0.25"/>
    <row r="595" spans="1:22" x14ac:dyDescent="0.25"/>
    <row r="596" spans="1:22" x14ac:dyDescent="0.25"/>
    <row r="597" spans="1:22" x14ac:dyDescent="0.25"/>
    <row r="598" spans="1:22" x14ac:dyDescent="0.25"/>
    <row r="599" spans="1:22" x14ac:dyDescent="0.25"/>
    <row r="600" spans="1:22" x14ac:dyDescent="0.25"/>
    <row r="601" spans="1:22" x14ac:dyDescent="0.25"/>
    <row r="602" spans="1:22" x14ac:dyDescent="0.25"/>
    <row r="603" spans="1:22" x14ac:dyDescent="0.25"/>
    <row r="604" spans="1:22" x14ac:dyDescent="0.25"/>
    <row r="605" spans="1:22" x14ac:dyDescent="0.25"/>
    <row r="606" spans="1:22" x14ac:dyDescent="0.25"/>
    <row r="607" spans="1:22" x14ac:dyDescent="0.25"/>
    <row r="608" spans="1:22" x14ac:dyDescent="0.25"/>
    <row r="609" spans="1:22" x14ac:dyDescent="0.25"/>
    <row r="610" spans="1:22" x14ac:dyDescent="0.25"/>
    <row r="611" spans="1:22" x14ac:dyDescent="0.25"/>
    <row r="612" spans="1:22" x14ac:dyDescent="0.25"/>
    <row r="613" spans="1:22" x14ac:dyDescent="0.25"/>
    <row r="614" spans="1:22" x14ac:dyDescent="0.25"/>
    <row r="615" spans="1:22" x14ac:dyDescent="0.25"/>
    <row r="616" spans="1:22" x14ac:dyDescent="0.25"/>
    <row r="617" spans="1:22" x14ac:dyDescent="0.25"/>
    <row r="618" spans="1:22" x14ac:dyDescent="0.25"/>
    <row r="619" spans="1:22" x14ac:dyDescent="0.25"/>
    <row r="620" spans="1:22" x14ac:dyDescent="0.25"/>
    <row r="621" spans="1:22" x14ac:dyDescent="0.25"/>
    <row r="622" spans="1:22" x14ac:dyDescent="0.25"/>
    <row r="623" spans="1:22" x14ac:dyDescent="0.25"/>
    <row r="624" spans="1:22" x14ac:dyDescent="0.25"/>
    <row r="625" spans="1:22" x14ac:dyDescent="0.25"/>
    <row r="626" spans="1:22" x14ac:dyDescent="0.25"/>
    <row r="627" spans="1:22" x14ac:dyDescent="0.25"/>
    <row r="628" spans="1:22" x14ac:dyDescent="0.25"/>
    <row r="629" spans="1:22" x14ac:dyDescent="0.25"/>
    <row r="630" spans="1:22" x14ac:dyDescent="0.25"/>
    <row r="631" spans="1:22" x14ac:dyDescent="0.25"/>
    <row r="632" spans="1:22" x14ac:dyDescent="0.25"/>
    <row r="633" spans="1:22" x14ac:dyDescent="0.25"/>
    <row r="634" spans="1:22" x14ac:dyDescent="0.25"/>
    <row r="635" spans="1:22" x14ac:dyDescent="0.25"/>
    <row r="636" spans="1:22" x14ac:dyDescent="0.25"/>
    <row r="637" spans="1:22" x14ac:dyDescent="0.25"/>
    <row r="638" spans="1:22" x14ac:dyDescent="0.25"/>
    <row r="639" spans="1:22" x14ac:dyDescent="0.25"/>
    <row r="640" spans="1:22" x14ac:dyDescent="0.25"/>
    <row r="641" spans="1:22" x14ac:dyDescent="0.25"/>
    <row r="642" spans="1:22" x14ac:dyDescent="0.25"/>
    <row r="643" spans="1:22" x14ac:dyDescent="0.25"/>
    <row r="644" spans="1:22" x14ac:dyDescent="0.25"/>
    <row r="645" spans="1:22" x14ac:dyDescent="0.25"/>
    <row r="646" spans="1:22" x14ac:dyDescent="0.25"/>
    <row r="647" spans="1:22" x14ac:dyDescent="0.25"/>
    <row r="648" spans="1:22" x14ac:dyDescent="0.25"/>
    <row r="649" spans="1:22" x14ac:dyDescent="0.25"/>
    <row r="650" spans="1:22" x14ac:dyDescent="0.25"/>
    <row r="651" spans="1:22" x14ac:dyDescent="0.25"/>
    <row r="652" spans="1:22" x14ac:dyDescent="0.25"/>
    <row r="653" spans="1:22" x14ac:dyDescent="0.25"/>
    <row r="654" spans="1:22" x14ac:dyDescent="0.25"/>
    <row r="655" spans="1:22" x14ac:dyDescent="0.25"/>
    <row r="656" spans="1:22" x14ac:dyDescent="0.25"/>
    <row r="657" spans="1:22" x14ac:dyDescent="0.25"/>
    <row r="658" spans="1:22" x14ac:dyDescent="0.25"/>
    <row r="659" spans="1:22" x14ac:dyDescent="0.25"/>
    <row r="660" spans="1:22" x14ac:dyDescent="0.25"/>
    <row r="661" spans="1:22" x14ac:dyDescent="0.25"/>
    <row r="662" spans="1:22" x14ac:dyDescent="0.25"/>
    <row r="663" spans="1:22" x14ac:dyDescent="0.25"/>
    <row r="664" spans="1:22" x14ac:dyDescent="0.25"/>
    <row r="665" spans="1:22" x14ac:dyDescent="0.25"/>
    <row r="666" spans="1:22" x14ac:dyDescent="0.25"/>
    <row r="667" spans="1:22" x14ac:dyDescent="0.25"/>
    <row r="668" spans="1:22" x14ac:dyDescent="0.25"/>
    <row r="669" spans="1:22" x14ac:dyDescent="0.25"/>
    <row r="670" spans="1:22" x14ac:dyDescent="0.25"/>
    <row r="671" spans="1:22" x14ac:dyDescent="0.25"/>
    <row r="672" spans="1:22" x14ac:dyDescent="0.25"/>
    <row r="673" spans="1:22" x14ac:dyDescent="0.25"/>
    <row r="674" spans="1:22" x14ac:dyDescent="0.25"/>
    <row r="675" spans="1:22" x14ac:dyDescent="0.25"/>
    <row r="676" spans="1:22" x14ac:dyDescent="0.25"/>
    <row r="677" spans="1:22" x14ac:dyDescent="0.25"/>
    <row r="678" spans="1:22" x14ac:dyDescent="0.25"/>
    <row r="679" spans="1:22" x14ac:dyDescent="0.25"/>
    <row r="680" spans="1:22" x14ac:dyDescent="0.25"/>
    <row r="681" spans="1:22" x14ac:dyDescent="0.25"/>
    <row r="682" spans="1:22" x14ac:dyDescent="0.25"/>
    <row r="683" spans="1:22" x14ac:dyDescent="0.25"/>
    <row r="684" spans="1:22" x14ac:dyDescent="0.25"/>
    <row r="685" spans="1:22" x14ac:dyDescent="0.25"/>
    <row r="686" spans="1:22" x14ac:dyDescent="0.25"/>
    <row r="687" spans="1:22" x14ac:dyDescent="0.25"/>
    <row r="688" spans="1:22" x14ac:dyDescent="0.25"/>
    <row r="689" spans="1:22" x14ac:dyDescent="0.25"/>
    <row r="690" spans="1:22" x14ac:dyDescent="0.25"/>
    <row r="691" spans="1:22" x14ac:dyDescent="0.25"/>
    <row r="692" spans="1:22" x14ac:dyDescent="0.25"/>
    <row r="693" spans="1:22" x14ac:dyDescent="0.25"/>
    <row r="694" spans="1:22" x14ac:dyDescent="0.25"/>
    <row r="695" spans="1:22" x14ac:dyDescent="0.25"/>
    <row r="696" spans="1:22" x14ac:dyDescent="0.25"/>
    <row r="697" spans="1:22" x14ac:dyDescent="0.25"/>
    <row r="698" spans="1:22" x14ac:dyDescent="0.25"/>
    <row r="699" spans="1:22" x14ac:dyDescent="0.25"/>
    <row r="700" spans="1:22" x14ac:dyDescent="0.25"/>
    <row r="701" spans="1:22" x14ac:dyDescent="0.25"/>
    <row r="702" spans="1:22" x14ac:dyDescent="0.25"/>
    <row r="703" spans="1:22" x14ac:dyDescent="0.25"/>
    <row r="704" spans="1:22" x14ac:dyDescent="0.25"/>
    <row r="705" spans="1:22" x14ac:dyDescent="0.25"/>
    <row r="706" spans="1:22" x14ac:dyDescent="0.25"/>
    <row r="707" spans="1:22" x14ac:dyDescent="0.25"/>
    <row r="708" spans="1:22" x14ac:dyDescent="0.25"/>
    <row r="709" spans="1:22" x14ac:dyDescent="0.25"/>
    <row r="710" spans="1:22" x14ac:dyDescent="0.25"/>
    <row r="711" spans="1:22" x14ac:dyDescent="0.25"/>
    <row r="712" spans="1:22" x14ac:dyDescent="0.25"/>
    <row r="713" spans="1:22" x14ac:dyDescent="0.25"/>
    <row r="714" spans="1:22" x14ac:dyDescent="0.25"/>
    <row r="715" spans="1:22" x14ac:dyDescent="0.25"/>
    <row r="716" spans="1:22" x14ac:dyDescent="0.25"/>
    <row r="717" spans="1:22" x14ac:dyDescent="0.25"/>
    <row r="718" spans="1:22" x14ac:dyDescent="0.25"/>
    <row r="719" spans="1:22" x14ac:dyDescent="0.25"/>
    <row r="720" spans="1:22" x14ac:dyDescent="0.25"/>
    <row r="721" spans="1:22" x14ac:dyDescent="0.25"/>
    <row r="722" spans="1:22" x14ac:dyDescent="0.25"/>
    <row r="723" spans="1:22" x14ac:dyDescent="0.25"/>
    <row r="724" spans="1:22" x14ac:dyDescent="0.25"/>
    <row r="725" spans="1:22" x14ac:dyDescent="0.25"/>
    <row r="726" spans="1:22" x14ac:dyDescent="0.25"/>
    <row r="727" spans="1:22" x14ac:dyDescent="0.25"/>
    <row r="728" spans="1:22" x14ac:dyDescent="0.25"/>
    <row r="729" spans="1:22" x14ac:dyDescent="0.25"/>
    <row r="730" spans="1:22" x14ac:dyDescent="0.25"/>
    <row r="731" spans="1:22" x14ac:dyDescent="0.25"/>
    <row r="732" spans="1:22" x14ac:dyDescent="0.25"/>
    <row r="733" spans="1:22" x14ac:dyDescent="0.25"/>
    <row r="734" spans="1:22" x14ac:dyDescent="0.25"/>
    <row r="735" spans="1:22" x14ac:dyDescent="0.25"/>
    <row r="736" spans="1:22" x14ac:dyDescent="0.25"/>
    <row r="737" spans="1:22" x14ac:dyDescent="0.25"/>
    <row r="738" spans="1:22" x14ac:dyDescent="0.25"/>
    <row r="739" spans="1:22" x14ac:dyDescent="0.25"/>
    <row r="740" spans="1:22" x14ac:dyDescent="0.25"/>
    <row r="741" spans="1:22" x14ac:dyDescent="0.25"/>
    <row r="742" spans="1:22" x14ac:dyDescent="0.25"/>
    <row r="743" spans="1:22" x14ac:dyDescent="0.25"/>
    <row r="744" spans="1:22" x14ac:dyDescent="0.25"/>
    <row r="745" spans="1:22" x14ac:dyDescent="0.25"/>
    <row r="746" spans="1:22" x14ac:dyDescent="0.25"/>
    <row r="747" spans="1:22" x14ac:dyDescent="0.25"/>
    <row r="748" spans="1:22" x14ac:dyDescent="0.25"/>
    <row r="749" spans="1:22" x14ac:dyDescent="0.25"/>
    <row r="750" spans="1:22" x14ac:dyDescent="0.25"/>
    <row r="751" spans="1:22" x14ac:dyDescent="0.25"/>
    <row r="752" spans="1:22" x14ac:dyDescent="0.25"/>
    <row r="753" spans="1:22" x14ac:dyDescent="0.25"/>
    <row r="754" spans="1:22" x14ac:dyDescent="0.25"/>
    <row r="755" spans="1:22" x14ac:dyDescent="0.25"/>
    <row r="756" spans="1:22" x14ac:dyDescent="0.25"/>
    <row r="757" spans="1:22" x14ac:dyDescent="0.25"/>
    <row r="758" spans="1:22" x14ac:dyDescent="0.25"/>
    <row r="759" spans="1:22" x14ac:dyDescent="0.25"/>
    <row r="760" spans="1:22" x14ac:dyDescent="0.25"/>
    <row r="761" spans="1:22" x14ac:dyDescent="0.25"/>
    <row r="762" spans="1:22" x14ac:dyDescent="0.25"/>
    <row r="763" spans="1:22" x14ac:dyDescent="0.25"/>
    <row r="764" spans="1:22" x14ac:dyDescent="0.25"/>
    <row r="765" spans="1:22" x14ac:dyDescent="0.25"/>
    <row r="766" spans="1:22" x14ac:dyDescent="0.25"/>
    <row r="767" spans="1:22" x14ac:dyDescent="0.25"/>
    <row r="768" spans="1:22" x14ac:dyDescent="0.25"/>
    <row r="769" spans="1:22" x14ac:dyDescent="0.25"/>
    <row r="770" spans="1:22" x14ac:dyDescent="0.25"/>
    <row r="771" spans="1:22" x14ac:dyDescent="0.25"/>
    <row r="772" spans="1:22" x14ac:dyDescent="0.25"/>
    <row r="773" spans="1:22" x14ac:dyDescent="0.25"/>
    <row r="774" spans="1:22" x14ac:dyDescent="0.25"/>
    <row r="775" spans="1:22" x14ac:dyDescent="0.25"/>
    <row r="776" spans="1:22" x14ac:dyDescent="0.25"/>
    <row r="777" spans="1:22" x14ac:dyDescent="0.25"/>
    <row r="778" spans="1:22" x14ac:dyDescent="0.25"/>
    <row r="779" spans="1:22" x14ac:dyDescent="0.25"/>
    <row r="780" spans="1:22" x14ac:dyDescent="0.25"/>
    <row r="781" spans="1:22" x14ac:dyDescent="0.25"/>
    <row r="782" spans="1:22" x14ac:dyDescent="0.25"/>
    <row r="783" spans="1:22" x14ac:dyDescent="0.25"/>
    <row r="784" spans="1:22" x14ac:dyDescent="0.25"/>
    <row r="785" spans="1:22" x14ac:dyDescent="0.25"/>
    <row r="786" spans="1:22" x14ac:dyDescent="0.25"/>
    <row r="787" spans="1:22" x14ac:dyDescent="0.25"/>
    <row r="788" spans="1:22" x14ac:dyDescent="0.25"/>
    <row r="789" spans="1:22" x14ac:dyDescent="0.25"/>
    <row r="790" spans="1:22" x14ac:dyDescent="0.25"/>
    <row r="791" spans="1:22" x14ac:dyDescent="0.25"/>
    <row r="792" spans="1:22" x14ac:dyDescent="0.25"/>
    <row r="793" spans="1:22" x14ac:dyDescent="0.25"/>
    <row r="794" spans="1:22" x14ac:dyDescent="0.25"/>
    <row r="795" spans="1:22" x14ac:dyDescent="0.25"/>
    <row r="796" spans="1:22" x14ac:dyDescent="0.25"/>
    <row r="797" spans="1:22" x14ac:dyDescent="0.25"/>
    <row r="798" spans="1:22" x14ac:dyDescent="0.25"/>
    <row r="799" spans="1:22" x14ac:dyDescent="0.25"/>
    <row r="800" spans="1:22" x14ac:dyDescent="0.25"/>
    <row r="801" spans="1:22" x14ac:dyDescent="0.25"/>
    <row r="802" spans="1:22" x14ac:dyDescent="0.25"/>
    <row r="803" spans="1:22" x14ac:dyDescent="0.25"/>
    <row r="804" spans="1:22" x14ac:dyDescent="0.25"/>
    <row r="805" spans="1:22" x14ac:dyDescent="0.25"/>
    <row r="806" spans="1:22" x14ac:dyDescent="0.25"/>
    <row r="807" spans="1:22" x14ac:dyDescent="0.25"/>
    <row r="808" spans="1:22" x14ac:dyDescent="0.25"/>
    <row r="809" spans="1:22" x14ac:dyDescent="0.25"/>
    <row r="810" spans="1:22" x14ac:dyDescent="0.25"/>
    <row r="811" spans="1:22" x14ac:dyDescent="0.25"/>
    <row r="812" spans="1:22" x14ac:dyDescent="0.25"/>
    <row r="813" spans="1:22" x14ac:dyDescent="0.25"/>
    <row r="814" spans="1:22" x14ac:dyDescent="0.25"/>
    <row r="815" spans="1:22" x14ac:dyDescent="0.25"/>
    <row r="816" spans="1:22" x14ac:dyDescent="0.25"/>
    <row r="817" spans="1:22" x14ac:dyDescent="0.25"/>
    <row r="818" spans="1:22" x14ac:dyDescent="0.25"/>
    <row r="819" spans="1:22" x14ac:dyDescent="0.25"/>
    <row r="820" spans="1:22" x14ac:dyDescent="0.25"/>
    <row r="821" spans="1:22" x14ac:dyDescent="0.25"/>
    <row r="822" spans="1:22" x14ac:dyDescent="0.25"/>
    <row r="823" spans="1:22" x14ac:dyDescent="0.25"/>
    <row r="824" spans="1:22" x14ac:dyDescent="0.25"/>
    <row r="825" spans="1:22" x14ac:dyDescent="0.25"/>
    <row r="826" spans="1:22" x14ac:dyDescent="0.25"/>
    <row r="827" spans="1:22" x14ac:dyDescent="0.25"/>
    <row r="828" spans="1:22" x14ac:dyDescent="0.25"/>
    <row r="829" spans="1:22" x14ac:dyDescent="0.25"/>
    <row r="830" spans="1:22" x14ac:dyDescent="0.25"/>
    <row r="831" spans="1:22" x14ac:dyDescent="0.25"/>
    <row r="832" spans="1:22" x14ac:dyDescent="0.25"/>
    <row r="833" spans="1:22" x14ac:dyDescent="0.25"/>
    <row r="834" spans="1:22" x14ac:dyDescent="0.25"/>
    <row r="835" spans="1:22" x14ac:dyDescent="0.25"/>
    <row r="836" spans="1:22" x14ac:dyDescent="0.25"/>
    <row r="837" spans="1:22" x14ac:dyDescent="0.25"/>
    <row r="838" spans="1:22" x14ac:dyDescent="0.25"/>
    <row r="839" spans="1:22" x14ac:dyDescent="0.25"/>
    <row r="840" spans="1:22" x14ac:dyDescent="0.25"/>
    <row r="841" spans="1:22" x14ac:dyDescent="0.25"/>
    <row r="842" spans="1:22" x14ac:dyDescent="0.25"/>
    <row r="843" spans="1:22" x14ac:dyDescent="0.25"/>
    <row r="844" spans="1:22" x14ac:dyDescent="0.25"/>
    <row r="845" spans="1:22" x14ac:dyDescent="0.25"/>
    <row r="846" spans="1:22" x14ac:dyDescent="0.25"/>
    <row r="847" spans="1:22" x14ac:dyDescent="0.25"/>
    <row r="848" spans="1:22" x14ac:dyDescent="0.25"/>
    <row r="849" spans="1:22" x14ac:dyDescent="0.25"/>
    <row r="850" spans="1:22" x14ac:dyDescent="0.25"/>
    <row r="851" spans="1:22" x14ac:dyDescent="0.25"/>
    <row r="852" spans="1:22" x14ac:dyDescent="0.25"/>
    <row r="853" spans="1:22" x14ac:dyDescent="0.25"/>
    <row r="854" spans="1:22" x14ac:dyDescent="0.25"/>
    <row r="855" spans="1:22" x14ac:dyDescent="0.25"/>
    <row r="856" spans="1:22" x14ac:dyDescent="0.25"/>
    <row r="857" spans="1:22" x14ac:dyDescent="0.25"/>
    <row r="858" spans="1:22" x14ac:dyDescent="0.25"/>
    <row r="859" spans="1:22" x14ac:dyDescent="0.25"/>
    <row r="860" spans="1:22" x14ac:dyDescent="0.25"/>
    <row r="861" spans="1:22" x14ac:dyDescent="0.25"/>
    <row r="862" spans="1:22" x14ac:dyDescent="0.25"/>
    <row r="863" spans="1:22" x14ac:dyDescent="0.25"/>
    <row r="864" spans="1:22" x14ac:dyDescent="0.25"/>
    <row r="865" spans="1:22" x14ac:dyDescent="0.25"/>
    <row r="866" spans="1:22" x14ac:dyDescent="0.25"/>
    <row r="867" spans="1:22" x14ac:dyDescent="0.25"/>
    <row r="868" spans="1:22" x14ac:dyDescent="0.25"/>
    <row r="869" spans="1:22" x14ac:dyDescent="0.25"/>
    <row r="870" spans="1:22" x14ac:dyDescent="0.25"/>
    <row r="871" spans="1:22" x14ac:dyDescent="0.25"/>
    <row r="872" spans="1:22" x14ac:dyDescent="0.25"/>
    <row r="873" spans="1:22" x14ac:dyDescent="0.25"/>
    <row r="874" spans="1:22" x14ac:dyDescent="0.25"/>
    <row r="875" spans="1:22" x14ac:dyDescent="0.25"/>
    <row r="876" spans="1:22" x14ac:dyDescent="0.25"/>
    <row r="877" spans="1:22" x14ac:dyDescent="0.25"/>
    <row r="878" spans="1:22" x14ac:dyDescent="0.25"/>
    <row r="879" spans="1:22" x14ac:dyDescent="0.25"/>
    <row r="880" spans="1:22" x14ac:dyDescent="0.25"/>
    <row r="881" spans="1:22" x14ac:dyDescent="0.25"/>
    <row r="882" spans="1:22" x14ac:dyDescent="0.25"/>
    <row r="883" spans="1:22" x14ac:dyDescent="0.25"/>
    <row r="884" spans="1:22" x14ac:dyDescent="0.25"/>
    <row r="885" spans="1:22" x14ac:dyDescent="0.25"/>
    <row r="886" spans="1:22" x14ac:dyDescent="0.25"/>
    <row r="887" spans="1:22" x14ac:dyDescent="0.25"/>
    <row r="888" spans="1:22" x14ac:dyDescent="0.25"/>
    <row r="889" spans="1:22" x14ac:dyDescent="0.25"/>
    <row r="890" spans="1:22" x14ac:dyDescent="0.25"/>
    <row r="891" spans="1:22" x14ac:dyDescent="0.25"/>
    <row r="892" spans="1:22" x14ac:dyDescent="0.25"/>
    <row r="893" spans="1:22" x14ac:dyDescent="0.25"/>
    <row r="894" spans="1:22" x14ac:dyDescent="0.25"/>
    <row r="895" spans="1:22" x14ac:dyDescent="0.25"/>
    <row r="896" spans="1:22" x14ac:dyDescent="0.25"/>
    <row r="897" spans="1:22" x14ac:dyDescent="0.25"/>
    <row r="898" spans="1:22" x14ac:dyDescent="0.25"/>
    <row r="899" spans="1:22" x14ac:dyDescent="0.25"/>
    <row r="900" spans="1:22" x14ac:dyDescent="0.25"/>
    <row r="901" spans="1:22" x14ac:dyDescent="0.25"/>
    <row r="902" spans="1:22" x14ac:dyDescent="0.25"/>
    <row r="903" spans="1:22" x14ac:dyDescent="0.25"/>
    <row r="904" spans="1:22" x14ac:dyDescent="0.25"/>
    <row r="905" spans="1:22" x14ac:dyDescent="0.25"/>
    <row r="906" spans="1:22" x14ac:dyDescent="0.25"/>
    <row r="907" spans="1:22" x14ac:dyDescent="0.25"/>
    <row r="908" spans="1:22" x14ac:dyDescent="0.25"/>
    <row r="909" spans="1:22" x14ac:dyDescent="0.25"/>
    <row r="910" spans="1:22" x14ac:dyDescent="0.25"/>
    <row r="911" spans="1:22" x14ac:dyDescent="0.25"/>
    <row r="912" spans="1:22" x14ac:dyDescent="0.25"/>
    <row r="913" spans="1:22" x14ac:dyDescent="0.25"/>
    <row r="914" spans="1:22" x14ac:dyDescent="0.25"/>
    <row r="915" spans="1:22" x14ac:dyDescent="0.25"/>
    <row r="916" spans="1:22" x14ac:dyDescent="0.25"/>
    <row r="917" spans="1:22" x14ac:dyDescent="0.25"/>
    <row r="918" spans="1:22" x14ac:dyDescent="0.25"/>
    <row r="919" spans="1:22" x14ac:dyDescent="0.25"/>
    <row r="920" spans="1:22" x14ac:dyDescent="0.25"/>
    <row r="921" spans="1:22" x14ac:dyDescent="0.25"/>
    <row r="922" spans="1:22" x14ac:dyDescent="0.25"/>
    <row r="923" spans="1:22" x14ac:dyDescent="0.25"/>
    <row r="924" spans="1:22" x14ac:dyDescent="0.25"/>
    <row r="925" spans="1:22" x14ac:dyDescent="0.25"/>
    <row r="926" spans="1:22" x14ac:dyDescent="0.25"/>
    <row r="927" spans="1:22" x14ac:dyDescent="0.25"/>
    <row r="928" spans="1:22" x14ac:dyDescent="0.25"/>
    <row r="929" spans="1:22" x14ac:dyDescent="0.25"/>
    <row r="930" spans="1:22" x14ac:dyDescent="0.25"/>
    <row r="931" spans="1:22" x14ac:dyDescent="0.25"/>
    <row r="932" spans="1:22" x14ac:dyDescent="0.25"/>
    <row r="933" spans="1:22" x14ac:dyDescent="0.25"/>
    <row r="934" spans="1:22" x14ac:dyDescent="0.25"/>
    <row r="935" spans="1:22" x14ac:dyDescent="0.25"/>
    <row r="936" spans="1:22" x14ac:dyDescent="0.25"/>
    <row r="937" spans="1:22" x14ac:dyDescent="0.25"/>
    <row r="938" spans="1:22" x14ac:dyDescent="0.25"/>
    <row r="939" spans="1:22" x14ac:dyDescent="0.25"/>
    <row r="940" spans="1:22" x14ac:dyDescent="0.25"/>
    <row r="941" spans="1:22" x14ac:dyDescent="0.25"/>
    <row r="942" spans="1:22" x14ac:dyDescent="0.25"/>
    <row r="943" spans="1:22" x14ac:dyDescent="0.25"/>
    <row r="944" spans="1:22" x14ac:dyDescent="0.25"/>
    <row r="945" spans="1:22" x14ac:dyDescent="0.25"/>
    <row r="946" spans="1:22" x14ac:dyDescent="0.25"/>
    <row r="947" spans="1:22" x14ac:dyDescent="0.25"/>
    <row r="948" spans="1:22" x14ac:dyDescent="0.25"/>
    <row r="949" spans="1:22" x14ac:dyDescent="0.25"/>
    <row r="950" spans="1:22" x14ac:dyDescent="0.25"/>
    <row r="951" spans="1:22" x14ac:dyDescent="0.25"/>
    <row r="952" spans="1:22" x14ac:dyDescent="0.25"/>
    <row r="953" spans="1:22" x14ac:dyDescent="0.25"/>
    <row r="954" spans="1:22" x14ac:dyDescent="0.25"/>
    <row r="955" spans="1:22" x14ac:dyDescent="0.25"/>
    <row r="956" spans="1:22" x14ac:dyDescent="0.25"/>
    <row r="957" spans="1:22" x14ac:dyDescent="0.25"/>
    <row r="958" spans="1:22" x14ac:dyDescent="0.25"/>
    <row r="959" spans="1:22" x14ac:dyDescent="0.25"/>
    <row r="960" spans="1:22" x14ac:dyDescent="0.25"/>
    <row r="961" spans="1:22" x14ac:dyDescent="0.25"/>
    <row r="962" spans="1:22" x14ac:dyDescent="0.25"/>
    <row r="963" spans="1:22" x14ac:dyDescent="0.25"/>
    <row r="964" spans="1:22" x14ac:dyDescent="0.25"/>
    <row r="965" spans="1:22" x14ac:dyDescent="0.25"/>
    <row r="966" spans="1:22" x14ac:dyDescent="0.25"/>
    <row r="967" spans="1:22" x14ac:dyDescent="0.25"/>
    <row r="968" spans="1:22" x14ac:dyDescent="0.25"/>
    <row r="969" spans="1:22" x14ac:dyDescent="0.25"/>
    <row r="970" spans="1:22" x14ac:dyDescent="0.25"/>
    <row r="971" spans="1:22" x14ac:dyDescent="0.25"/>
    <row r="972" spans="1:22" x14ac:dyDescent="0.25"/>
    <row r="973" spans="1:22" x14ac:dyDescent="0.25"/>
    <row r="974" spans="1:22" x14ac:dyDescent="0.25"/>
    <row r="975" spans="1:22" x14ac:dyDescent="0.25"/>
    <row r="976" spans="1:22" x14ac:dyDescent="0.25"/>
    <row r="977" spans="1:22" x14ac:dyDescent="0.25"/>
    <row r="978" spans="1:22" x14ac:dyDescent="0.25"/>
    <row r="979" spans="1:22" x14ac:dyDescent="0.25"/>
    <row r="980" spans="1:22" x14ac:dyDescent="0.25"/>
    <row r="981" spans="1:22" x14ac:dyDescent="0.25"/>
    <row r="982" spans="1:22" x14ac:dyDescent="0.25"/>
    <row r="983" spans="1:22" x14ac:dyDescent="0.25"/>
    <row r="984" spans="1:22" x14ac:dyDescent="0.25"/>
    <row r="985" spans="1:22" x14ac:dyDescent="0.25"/>
    <row r="986" spans="1:22" x14ac:dyDescent="0.25"/>
    <row r="987" spans="1:22" x14ac:dyDescent="0.25"/>
    <row r="988" spans="1:22" x14ac:dyDescent="0.25"/>
    <row r="989" spans="1:22" x14ac:dyDescent="0.25"/>
    <row r="990" spans="1:22" x14ac:dyDescent="0.25"/>
    <row r="991" spans="1:22" x14ac:dyDescent="0.25"/>
    <row r="992" spans="1:22" x14ac:dyDescent="0.25"/>
    <row r="993" spans="1:22" x14ac:dyDescent="0.25"/>
    <row r="994" spans="1:22" x14ac:dyDescent="0.25"/>
    <row r="995" spans="1:22" x14ac:dyDescent="0.25"/>
    <row r="996" spans="1:22" x14ac:dyDescent="0.25"/>
    <row r="997" spans="1:22" x14ac:dyDescent="0.25"/>
    <row r="998" spans="1:22" x14ac:dyDescent="0.25"/>
    <row r="999" spans="1:22" x14ac:dyDescent="0.25"/>
    <row r="1000" spans="1:22" x14ac:dyDescent="0.25"/>
    <row r="1001" spans="1:22" x14ac:dyDescent="0.25"/>
    <row r="1002" spans="1:22" x14ac:dyDescent="0.25"/>
    <row r="1003" spans="1:22" x14ac:dyDescent="0.25"/>
    <row r="1004" spans="1:22" x14ac:dyDescent="0.25"/>
    <row r="1005" spans="1:22" x14ac:dyDescent="0.25"/>
    <row r="1006" spans="1:22" x14ac:dyDescent="0.25"/>
    <row r="1007" spans="1:22" x14ac:dyDescent="0.25"/>
    <row r="1008" spans="1:22" x14ac:dyDescent="0.25"/>
    <row r="1009" spans="1:22" x14ac:dyDescent="0.25"/>
    <row r="1010" spans="1:22" x14ac:dyDescent="0.25"/>
    <row r="1011" spans="1:22" x14ac:dyDescent="0.25"/>
    <row r="1012" spans="1:22" x14ac:dyDescent="0.25"/>
    <row r="1013" spans="1:22" x14ac:dyDescent="0.25"/>
    <row r="1014" spans="1:22" x14ac:dyDescent="0.25"/>
    <row r="1015" spans="1:22" x14ac:dyDescent="0.25"/>
    <row r="1016" spans="1:22" x14ac:dyDescent="0.25"/>
    <row r="1017" spans="1:22" x14ac:dyDescent="0.25"/>
    <row r="1018" spans="1:22" x14ac:dyDescent="0.25"/>
    <row r="1019" spans="1:22" x14ac:dyDescent="0.25"/>
    <row r="1020" spans="1:22" x14ac:dyDescent="0.25"/>
    <row r="1021" spans="1:22" x14ac:dyDescent="0.25"/>
    <row r="1022" spans="1:22" x14ac:dyDescent="0.25"/>
    <row r="1023" spans="1:22" x14ac:dyDescent="0.25"/>
    <row r="1024" spans="1:22" x14ac:dyDescent="0.25"/>
    <row r="1025" spans="1:22" x14ac:dyDescent="0.25"/>
    <row r="1026" spans="1:22" x14ac:dyDescent="0.25"/>
    <row r="1027" spans="1:22" x14ac:dyDescent="0.25"/>
    <row r="1028" spans="1:22" x14ac:dyDescent="0.25"/>
    <row r="1029" spans="1:22" x14ac:dyDescent="0.25"/>
    <row r="1030" spans="1:22" x14ac:dyDescent="0.25"/>
    <row r="1031" spans="1:22" x14ac:dyDescent="0.25"/>
    <row r="1032" spans="1:22" x14ac:dyDescent="0.25"/>
    <row r="1033" spans="1:22" x14ac:dyDescent="0.25"/>
    <row r="1034" spans="1:22" x14ac:dyDescent="0.25"/>
    <row r="1035" spans="1:22" x14ac:dyDescent="0.25"/>
    <row r="1036" spans="1:22" x14ac:dyDescent="0.25"/>
    <row r="1037" spans="1:22" x14ac:dyDescent="0.25"/>
    <row r="1038" spans="1:22" x14ac:dyDescent="0.25"/>
    <row r="1039" spans="1:22" x14ac:dyDescent="0.25"/>
    <row r="1040" spans="1:22" x14ac:dyDescent="0.25"/>
    <row r="1041" spans="1:22" x14ac:dyDescent="0.25"/>
    <row r="1042" spans="1:22" x14ac:dyDescent="0.25"/>
    <row r="1043" spans="1:22" x14ac:dyDescent="0.25"/>
    <row r="1044" spans="1:22" x14ac:dyDescent="0.25"/>
    <row r="1045" spans="1:22" x14ac:dyDescent="0.25"/>
    <row r="1046" spans="1:22" x14ac:dyDescent="0.25"/>
    <row r="1047" spans="1:22" x14ac:dyDescent="0.25"/>
    <row r="1048" spans="1:22" x14ac:dyDescent="0.25"/>
    <row r="1049" spans="1:22" x14ac:dyDescent="0.25"/>
    <row r="1050" spans="1:22" x14ac:dyDescent="0.25"/>
    <row r="1051" spans="1:22" x14ac:dyDescent="0.25"/>
    <row r="1052" spans="1:22" x14ac:dyDescent="0.25"/>
    <row r="1053" spans="1:22" x14ac:dyDescent="0.25"/>
    <row r="1054" spans="1:22" x14ac:dyDescent="0.25"/>
    <row r="1055" spans="1:22" x14ac:dyDescent="0.25"/>
    <row r="1056" spans="1:22" x14ac:dyDescent="0.25"/>
    <row r="1057" spans="1:22" x14ac:dyDescent="0.25"/>
    <row r="1058" spans="1:22" x14ac:dyDescent="0.25"/>
    <row r="1059" spans="1:22" x14ac:dyDescent="0.25"/>
    <row r="1060" spans="1:22" x14ac:dyDescent="0.25"/>
    <row r="1061" spans="1:22" x14ac:dyDescent="0.25"/>
    <row r="1062" spans="1:22" x14ac:dyDescent="0.25"/>
    <row r="1063" spans="1:22" x14ac:dyDescent="0.25"/>
    <row r="1064" spans="1:22" x14ac:dyDescent="0.25"/>
    <row r="1065" spans="1:22" x14ac:dyDescent="0.25"/>
    <row r="1066" spans="1:22" x14ac:dyDescent="0.25"/>
    <row r="1067" spans="1:22" x14ac:dyDescent="0.25"/>
    <row r="1068" spans="1:22" x14ac:dyDescent="0.25"/>
    <row r="1069" spans="1:22" x14ac:dyDescent="0.25"/>
    <row r="1070" spans="1:22" x14ac:dyDescent="0.25"/>
    <row r="1071" spans="1:22" x14ac:dyDescent="0.25"/>
    <row r="1072" spans="1:22" x14ac:dyDescent="0.25"/>
    <row r="1073" spans="1:22" x14ac:dyDescent="0.25"/>
    <row r="1074" spans="1:22" x14ac:dyDescent="0.25"/>
    <row r="1075" spans="1:22" x14ac:dyDescent="0.25"/>
    <row r="1076" spans="1:22" x14ac:dyDescent="0.25"/>
    <row r="1077" spans="1:22" x14ac:dyDescent="0.25"/>
    <row r="1078" spans="1:22" x14ac:dyDescent="0.25"/>
    <row r="1079" spans="1:22" x14ac:dyDescent="0.25"/>
    <row r="1080" spans="1:22" x14ac:dyDescent="0.25"/>
    <row r="1081" spans="1:22" x14ac:dyDescent="0.25"/>
    <row r="1082" spans="1:22" x14ac:dyDescent="0.25"/>
    <row r="1083" spans="1:22" x14ac:dyDescent="0.25"/>
    <row r="1084" spans="1:22" x14ac:dyDescent="0.25"/>
    <row r="1085" spans="1:22" x14ac:dyDescent="0.25"/>
    <row r="1086" spans="1:22" x14ac:dyDescent="0.25"/>
    <row r="1087" spans="1:22" x14ac:dyDescent="0.25"/>
    <row r="1088" spans="1:22" x14ac:dyDescent="0.25"/>
    <row r="1089" spans="1:22" x14ac:dyDescent="0.25"/>
    <row r="1090" spans="1:22" x14ac:dyDescent="0.25"/>
    <row r="1091" spans="1:22" x14ac:dyDescent="0.25"/>
    <row r="1092" spans="1:22" x14ac:dyDescent="0.25"/>
    <row r="1093" spans="1:22" x14ac:dyDescent="0.25"/>
    <row r="1094" spans="1:22" x14ac:dyDescent="0.25"/>
    <row r="1095" spans="1:22" x14ac:dyDescent="0.25"/>
    <row r="1096" spans="1:22" x14ac:dyDescent="0.25"/>
    <row r="1097" spans="1:22" x14ac:dyDescent="0.25"/>
    <row r="1098" spans="1:22" x14ac:dyDescent="0.25"/>
    <row r="1099" spans="1:22" x14ac:dyDescent="0.25"/>
    <row r="1100" spans="1:22" x14ac:dyDescent="0.25"/>
    <row r="1101" spans="1:22" x14ac:dyDescent="0.25"/>
    <row r="1102" spans="1:22" x14ac:dyDescent="0.25"/>
    <row r="1103" spans="1:22" x14ac:dyDescent="0.25"/>
    <row r="1104" spans="1:22" x14ac:dyDescent="0.25"/>
    <row r="1105" spans="1:22" x14ac:dyDescent="0.25"/>
    <row r="1106" spans="1:22" x14ac:dyDescent="0.25"/>
    <row r="1107" spans="1:22" x14ac:dyDescent="0.25"/>
    <row r="1108" spans="1:22" x14ac:dyDescent="0.25"/>
    <row r="1109" spans="1:22" x14ac:dyDescent="0.25"/>
    <row r="1110" spans="1:22" x14ac:dyDescent="0.25"/>
    <row r="1111" spans="1:22" x14ac:dyDescent="0.25"/>
    <row r="1112" spans="1:22" x14ac:dyDescent="0.25"/>
    <row r="1113" spans="1:22" x14ac:dyDescent="0.25"/>
    <row r="1114" spans="1:22" x14ac:dyDescent="0.25"/>
    <row r="1115" spans="1:22" x14ac:dyDescent="0.25"/>
    <row r="1116" spans="1:22" x14ac:dyDescent="0.25"/>
    <row r="1117" spans="1:22" x14ac:dyDescent="0.25"/>
    <row r="1118" spans="1:22" x14ac:dyDescent="0.25"/>
    <row r="1119" spans="1:22" x14ac:dyDescent="0.25"/>
    <row r="1120" spans="1:22" x14ac:dyDescent="0.25"/>
    <row r="1121" spans="1:22" x14ac:dyDescent="0.25"/>
    <row r="1122" spans="1:22" x14ac:dyDescent="0.25"/>
    <row r="1123" spans="1:22" x14ac:dyDescent="0.25"/>
    <row r="1124" spans="1:22" x14ac:dyDescent="0.25"/>
    <row r="1125" spans="1:22" x14ac:dyDescent="0.25"/>
    <row r="1126" spans="1:22" x14ac:dyDescent="0.25"/>
    <row r="1127" spans="1:22" x14ac:dyDescent="0.25"/>
    <row r="1128" spans="1:22" x14ac:dyDescent="0.25"/>
    <row r="1129" spans="1:22" x14ac:dyDescent="0.25"/>
    <row r="1130" spans="1:22" x14ac:dyDescent="0.25"/>
    <row r="1131" spans="1:22" x14ac:dyDescent="0.25"/>
    <row r="1132" spans="1:22" x14ac:dyDescent="0.25"/>
    <row r="1133" spans="1:22" x14ac:dyDescent="0.25"/>
    <row r="1134" spans="1:22" x14ac:dyDescent="0.25"/>
    <row r="1135" spans="1:22" x14ac:dyDescent="0.25"/>
    <row r="1136" spans="1:22" x14ac:dyDescent="0.25"/>
    <row r="1137" spans="1:22" x14ac:dyDescent="0.25"/>
    <row r="1138" spans="1:22" x14ac:dyDescent="0.25"/>
    <row r="1139" spans="1:22" x14ac:dyDescent="0.25"/>
    <row r="1140" spans="1:22" x14ac:dyDescent="0.25"/>
    <row r="1141" spans="1:22" x14ac:dyDescent="0.25"/>
    <row r="1142" spans="1:22" x14ac:dyDescent="0.25"/>
    <row r="1143" spans="1:22" x14ac:dyDescent="0.25"/>
    <row r="1144" spans="1:22" x14ac:dyDescent="0.25"/>
    <row r="1145" spans="1:22" x14ac:dyDescent="0.25"/>
    <row r="1146" spans="1:22" x14ac:dyDescent="0.25"/>
    <row r="1147" spans="1:22" x14ac:dyDescent="0.25"/>
    <row r="1148" spans="1:22" x14ac:dyDescent="0.25"/>
    <row r="1149" spans="1:22" x14ac:dyDescent="0.25"/>
    <row r="1150" spans="1:22" x14ac:dyDescent="0.25"/>
    <row r="1151" spans="1:22" x14ac:dyDescent="0.25"/>
    <row r="1152" spans="1:22" x14ac:dyDescent="0.25"/>
    <row r="1153" spans="1:22" x14ac:dyDescent="0.25"/>
    <row r="1154" spans="1:22" x14ac:dyDescent="0.25"/>
    <row r="1155" spans="1:22" x14ac:dyDescent="0.25"/>
    <row r="1156" spans="1:22" x14ac:dyDescent="0.25"/>
    <row r="1157" spans="1:22" x14ac:dyDescent="0.25"/>
    <row r="1158" spans="1:22" x14ac:dyDescent="0.25"/>
    <row r="1159" spans="1:22" x14ac:dyDescent="0.25"/>
    <row r="1160" spans="1:22" x14ac:dyDescent="0.25"/>
    <row r="1161" spans="1:22" x14ac:dyDescent="0.25"/>
    <row r="1162" spans="1:22" x14ac:dyDescent="0.25"/>
    <row r="1163" spans="1:22" x14ac:dyDescent="0.25"/>
    <row r="1164" spans="1:22" x14ac:dyDescent="0.25"/>
    <row r="1165" spans="1:22" x14ac:dyDescent="0.25"/>
    <row r="1166" spans="1:22" x14ac:dyDescent="0.25"/>
    <row r="1167" spans="1:22" x14ac:dyDescent="0.25"/>
    <row r="1168" spans="1:22" x14ac:dyDescent="0.25"/>
    <row r="1169" spans="1:22" x14ac:dyDescent="0.25"/>
    <row r="1170" spans="1:22" x14ac:dyDescent="0.25"/>
    <row r="1171" spans="1:22" x14ac:dyDescent="0.25"/>
    <row r="1172" spans="1:22" x14ac:dyDescent="0.25"/>
    <row r="1173" spans="1:22" x14ac:dyDescent="0.25"/>
    <row r="1174" spans="1:22" x14ac:dyDescent="0.25"/>
    <row r="1175" spans="1:22" x14ac:dyDescent="0.25"/>
    <row r="1176" spans="1:22" x14ac:dyDescent="0.25"/>
    <row r="1177" spans="1:22" x14ac:dyDescent="0.25"/>
    <row r="1178" spans="1:22" x14ac:dyDescent="0.25"/>
    <row r="1179" spans="1:22" x14ac:dyDescent="0.25"/>
    <row r="1180" spans="1:22" x14ac:dyDescent="0.25"/>
    <row r="1181" spans="1:22" x14ac:dyDescent="0.25"/>
    <row r="1182" spans="1:22" x14ac:dyDescent="0.25"/>
    <row r="1183" spans="1:22" x14ac:dyDescent="0.25"/>
    <row r="1184" spans="1:22" x14ac:dyDescent="0.25"/>
    <row r="1185" spans="1:22" x14ac:dyDescent="0.25"/>
    <row r="1186" spans="1:22" x14ac:dyDescent="0.25"/>
    <row r="1187" spans="1:22" x14ac:dyDescent="0.25"/>
    <row r="1188" spans="1:22" x14ac:dyDescent="0.25"/>
    <row r="1189" spans="1:22" x14ac:dyDescent="0.25"/>
    <row r="1190" spans="1:22" x14ac:dyDescent="0.25"/>
    <row r="1191" spans="1:22" x14ac:dyDescent="0.25"/>
    <row r="1192" spans="1:22" x14ac:dyDescent="0.25"/>
    <row r="1193" spans="1:22" x14ac:dyDescent="0.25"/>
    <row r="1194" spans="1:22" x14ac:dyDescent="0.25"/>
    <row r="1195" spans="1:22" x14ac:dyDescent="0.25"/>
    <row r="1196" spans="1:22" x14ac:dyDescent="0.25"/>
    <row r="1197" spans="1:22" x14ac:dyDescent="0.25"/>
    <row r="1198" spans="1:22" x14ac:dyDescent="0.25"/>
    <row r="1199" spans="1:22" x14ac:dyDescent="0.25"/>
    <row r="1200" spans="1:22" x14ac:dyDescent="0.25"/>
    <row r="1201" spans="1:22" x14ac:dyDescent="0.25"/>
    <row r="1202" spans="1:22" x14ac:dyDescent="0.25"/>
    <row r="1203" spans="1:22" x14ac:dyDescent="0.25"/>
    <row r="1204" spans="1:22" x14ac:dyDescent="0.25"/>
    <row r="1205" spans="1:22" x14ac:dyDescent="0.25"/>
    <row r="1206" spans="1:22" x14ac:dyDescent="0.25"/>
    <row r="1207" spans="1:22" x14ac:dyDescent="0.25"/>
    <row r="1208" spans="1:22" x14ac:dyDescent="0.25"/>
    <row r="1209" spans="1:22" x14ac:dyDescent="0.25"/>
    <row r="1210" spans="1:22" x14ac:dyDescent="0.25"/>
    <row r="1211" spans="1:22" x14ac:dyDescent="0.25"/>
    <row r="1212" spans="1:22" x14ac:dyDescent="0.25"/>
    <row r="1213" spans="1:22" x14ac:dyDescent="0.25"/>
    <row r="1214" spans="1:22" x14ac:dyDescent="0.25"/>
    <row r="1215" spans="1:22" x14ac:dyDescent="0.25"/>
    <row r="1216" spans="1:22" x14ac:dyDescent="0.25"/>
    <row r="1217" spans="1:22" x14ac:dyDescent="0.25"/>
    <row r="1218" spans="1:22" x14ac:dyDescent="0.25"/>
    <row r="1219" spans="1:22" x14ac:dyDescent="0.25"/>
    <row r="1220" spans="1:22" x14ac:dyDescent="0.25"/>
    <row r="1221" spans="1:22" x14ac:dyDescent="0.25"/>
    <row r="1222" spans="1:22" x14ac:dyDescent="0.25"/>
    <row r="1223" spans="1:22" x14ac:dyDescent="0.25"/>
    <row r="1224" spans="1:22" x14ac:dyDescent="0.25"/>
    <row r="1225" spans="1:22" x14ac:dyDescent="0.25"/>
    <row r="1226" spans="1:22" x14ac:dyDescent="0.25"/>
    <row r="1227" spans="1:22" x14ac:dyDescent="0.25"/>
    <row r="1228" spans="1:22" x14ac:dyDescent="0.25"/>
    <row r="1229" spans="1:22" x14ac:dyDescent="0.25"/>
    <row r="1230" spans="1:22" x14ac:dyDescent="0.25"/>
    <row r="1231" spans="1:22" x14ac:dyDescent="0.25"/>
    <row r="1232" spans="1:22" x14ac:dyDescent="0.25"/>
    <row r="1233" spans="1:22" x14ac:dyDescent="0.25"/>
    <row r="1234" spans="1:22" x14ac:dyDescent="0.25"/>
    <row r="1235" spans="1:22" x14ac:dyDescent="0.25"/>
    <row r="1236" spans="1:22" x14ac:dyDescent="0.25"/>
    <row r="1237" spans="1:22" x14ac:dyDescent="0.25"/>
    <row r="1238" spans="1:22" x14ac:dyDescent="0.25"/>
    <row r="1239" spans="1:22" x14ac:dyDescent="0.25"/>
    <row r="1240" spans="1:22" x14ac:dyDescent="0.25"/>
    <row r="1241" spans="1:22" x14ac:dyDescent="0.25"/>
    <row r="1242" spans="1:22" x14ac:dyDescent="0.25"/>
    <row r="1243" spans="1:22" x14ac:dyDescent="0.25"/>
    <row r="1244" spans="1:22" x14ac:dyDescent="0.25"/>
    <row r="1245" spans="1:22" x14ac:dyDescent="0.25"/>
    <row r="1246" spans="1:22" x14ac:dyDescent="0.25"/>
    <row r="1247" spans="1:22" x14ac:dyDescent="0.25"/>
    <row r="1248" spans="1:22" x14ac:dyDescent="0.25"/>
    <row r="1249" spans="1:22" x14ac:dyDescent="0.25"/>
    <row r="1250" spans="1:22" x14ac:dyDescent="0.25"/>
    <row r="1251" spans="1:22" x14ac:dyDescent="0.25"/>
    <row r="1252" spans="1:22" x14ac:dyDescent="0.25"/>
    <row r="1253" spans="1:22" x14ac:dyDescent="0.25"/>
    <row r="1254" spans="1:22" x14ac:dyDescent="0.25"/>
    <row r="1255" spans="1:22" x14ac:dyDescent="0.25"/>
    <row r="1256" spans="1:22" x14ac:dyDescent="0.25"/>
    <row r="1257" spans="1:22" x14ac:dyDescent="0.25"/>
    <row r="1258" spans="1:22" x14ac:dyDescent="0.25"/>
    <row r="1259" spans="1:22" x14ac:dyDescent="0.25"/>
    <row r="1260" spans="1:22" x14ac:dyDescent="0.25"/>
    <row r="1261" spans="1:22" x14ac:dyDescent="0.25"/>
    <row r="1262" spans="1:22" x14ac:dyDescent="0.25"/>
    <row r="1263" spans="1:22" x14ac:dyDescent="0.25"/>
    <row r="1264" spans="1:22" x14ac:dyDescent="0.25"/>
    <row r="1265" spans="1:22" x14ac:dyDescent="0.25"/>
    <row r="1266" spans="1:22" x14ac:dyDescent="0.25"/>
    <row r="1267" spans="1:22" x14ac:dyDescent="0.25"/>
    <row r="1268" spans="1:22" x14ac:dyDescent="0.25"/>
    <row r="1269" spans="1:22" x14ac:dyDescent="0.25"/>
    <row r="1270" spans="1:22" x14ac:dyDescent="0.25"/>
    <row r="1271" spans="1:22" x14ac:dyDescent="0.25"/>
    <row r="1272" spans="1:22" x14ac:dyDescent="0.25"/>
    <row r="1273" spans="1:22" x14ac:dyDescent="0.25"/>
    <row r="1274" spans="1:22" x14ac:dyDescent="0.25"/>
    <row r="1275" spans="1:22" x14ac:dyDescent="0.25"/>
    <row r="1276" spans="1:22" x14ac:dyDescent="0.25"/>
    <row r="1277" spans="1:22" x14ac:dyDescent="0.25"/>
    <row r="1278" spans="1:22" x14ac:dyDescent="0.25"/>
    <row r="1279" spans="1:22" x14ac:dyDescent="0.25"/>
    <row r="1280" spans="1:22" x14ac:dyDescent="0.25"/>
    <row r="1281" spans="1:22" x14ac:dyDescent="0.25"/>
    <row r="1282" spans="1:22" x14ac:dyDescent="0.25"/>
    <row r="1283" spans="1:22" x14ac:dyDescent="0.25"/>
    <row r="1284" spans="1:22" x14ac:dyDescent="0.25"/>
    <row r="1285" spans="1:22" x14ac:dyDescent="0.25"/>
    <row r="1286" spans="1:22" x14ac:dyDescent="0.25"/>
    <row r="1287" spans="1:22" x14ac:dyDescent="0.25"/>
    <row r="1288" spans="1:22" x14ac:dyDescent="0.25"/>
    <row r="1289" spans="1:22" x14ac:dyDescent="0.25"/>
  </sheetData>
  <conditionalFormatting sqref="E1176:E1213">
    <cfRule type="expression" dxfId="4" priority="1">
      <formula>AND(COUNTIF($E$650:$E$65536,F1176)+COUNTIF($E$10:$E$331,F1176)&gt;1,NOT(ISBLANK(F1176)))</formula>
    </cfRule>
  </conditionalFormatting>
  <conditionalFormatting sqref="E2:H323">
    <cfRule type="expression" dxfId="5" priority="4">
      <formula>AND(COUNTIF($E$648:$E$65536,E2)+COUNTIF($E$10:$E$331,E2)&gt;1,NOT(ISBLANK(E2)))</formula>
    </cfRule>
  </conditionalFormatting>
  <conditionalFormatting sqref="E646:H1289">
    <cfRule type="expression" dxfId="6" priority="3">
      <formula>AND(COUNTIF($E$647:$E$65536,E646)+COUNTIF($E$10:$E$331,E646)&gt;1,NOT(ISBLANK(E646)))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workbookViewId="0" zoomScale="100" zoomScaleNormal="100">
      <selection activeCell="G20" sqref="G20"/>
    </sheetView>
  </sheetViews>
  <sheetFormatPr defaultRowHeight="15" outlineLevelRow="0" outlineLevelCol="0" x14ac:dyDescent="0" defaultColWidth="14.42578125"/>
  <cols>
    <col min="1" max="1" width="11.140625" customWidth="1"/>
    <col min="2" max="2" width="32" customWidth="1"/>
    <col min="3" max="4" width="29.42578125" customWidth="1"/>
    <col min="5" max="5" width="15.140625" customWidth="1"/>
    <col min="6" max="6" width="8.28515625" customWidth="1"/>
    <col min="7" max="7" width="8.42578125" customWidth="1"/>
    <col min="8" max="8" width="18.28515625" customWidth="1"/>
    <col min="9" max="9" width="8.85546875" customWidth="1"/>
    <col min="10" max="10" width="18.140625" customWidth="1"/>
    <col min="11" max="11" width="16.85546875" customWidth="1"/>
    <col min="12" max="12" width="15.140625" customWidth="1"/>
    <col min="13" max="14" width="8" customWidth="1"/>
    <col min="15" max="15" width="8.85546875" customWidth="1"/>
    <col min="16" max="16" width="18.140625" customWidth="1"/>
    <col min="17" max="17" width="16.85546875" customWidth="1"/>
    <col min="18" max="18" width="15.140625" customWidth="1"/>
    <col min="19" max="27" width="8" customWidth="1"/>
  </cols>
  <sheetData>
    <row r="1" ht="14.25" customHeight="1" x14ac:dyDescent="0.25"/>
    <row r="2" ht="14.25" customHeight="1" x14ac:dyDescent="0.25"/>
    <row r="3" ht="14.25" customHeight="1" spans="1:7" x14ac:dyDescent="0.25">
      <c r="A3" s="58"/>
      <c r="B3" s="58" t="s">
        <v>25</v>
      </c>
      <c r="C3" s="59"/>
      <c r="D3" s="60"/>
      <c r="G3" s="61"/>
    </row>
    <row r="4" ht="14.25" customHeight="1" spans="1:16" x14ac:dyDescent="0.25">
      <c r="A4" s="58" t="s">
        <v>6</v>
      </c>
      <c r="B4" s="58" t="s">
        <v>33</v>
      </c>
      <c r="C4" s="62" t="s">
        <v>34</v>
      </c>
      <c r="D4" s="63" t="s">
        <v>35</v>
      </c>
      <c r="G4" s="61"/>
      <c r="I4" s="58"/>
      <c r="J4" s="58" t="s">
        <v>25</v>
      </c>
      <c r="K4" s="59"/>
      <c r="L4" s="60"/>
      <c r="O4" s="58" t="s">
        <v>8</v>
      </c>
      <c r="P4" s="64" t="s">
        <v>36</v>
      </c>
    </row>
    <row r="5" ht="14.25" customHeight="1" spans="1:16" x14ac:dyDescent="0.25">
      <c r="A5" s="58" t="s">
        <v>25</v>
      </c>
      <c r="B5" s="58">
        <v>0</v>
      </c>
      <c r="C5" s="62">
        <v>0</v>
      </c>
      <c r="D5" s="63">
        <v>0</v>
      </c>
      <c r="G5" s="61"/>
      <c r="I5" s="58" t="s">
        <v>8</v>
      </c>
      <c r="J5" s="58" t="s">
        <v>33</v>
      </c>
      <c r="K5" s="62" t="s">
        <v>37</v>
      </c>
      <c r="L5" s="63" t="s">
        <v>38</v>
      </c>
      <c r="O5" s="58" t="s">
        <v>25</v>
      </c>
      <c r="P5" s="64">
        <v>4</v>
      </c>
    </row>
    <row r="6" ht="14.25" customHeight="1" spans="1:16" x14ac:dyDescent="0.25">
      <c r="A6" s="65"/>
      <c r="B6" s="65"/>
      <c r="C6" s="3"/>
      <c r="D6" s="66"/>
      <c r="G6" s="61"/>
      <c r="I6" s="58" t="s">
        <v>25</v>
      </c>
      <c r="J6" s="58">
        <v>0</v>
      </c>
      <c r="K6" s="62">
        <v>0</v>
      </c>
      <c r="L6" s="63">
        <v>0</v>
      </c>
      <c r="M6">
        <f>ROUND((J6+K6)*$E$15,2)</f>
      </c>
      <c r="O6" s="65" t="s">
        <v>39</v>
      </c>
      <c r="P6" s="67">
        <v>4</v>
      </c>
    </row>
    <row r="7" ht="14.25" customHeight="1" spans="1:16" x14ac:dyDescent="0.25">
      <c r="A7" s="65"/>
      <c r="B7" s="65"/>
      <c r="C7" s="3"/>
      <c r="D7" s="66"/>
      <c r="G7" s="61"/>
      <c r="I7" s="65"/>
      <c r="J7" s="65"/>
      <c r="K7" s="3"/>
      <c r="L7" s="66"/>
      <c r="O7" s="65"/>
      <c r="P7" s="67"/>
    </row>
    <row r="8" ht="14.25" customHeight="1" spans="1:16" x14ac:dyDescent="0.25">
      <c r="A8" s="65"/>
      <c r="B8" s="65"/>
      <c r="C8" s="3"/>
      <c r="D8" s="66"/>
      <c r="G8" s="61"/>
      <c r="I8" s="65"/>
      <c r="J8" s="65"/>
      <c r="K8" s="3"/>
      <c r="L8" s="66"/>
      <c r="O8" s="65"/>
      <c r="P8" s="67"/>
    </row>
    <row r="9" ht="14.25" customHeight="1" spans="1:16" x14ac:dyDescent="0.25">
      <c r="A9" s="65"/>
      <c r="B9" s="65"/>
      <c r="C9" s="3"/>
      <c r="D9" s="66"/>
      <c r="G9" s="61"/>
      <c r="I9" s="65"/>
      <c r="J9" s="65"/>
      <c r="K9" s="3"/>
      <c r="L9" s="66"/>
      <c r="O9" s="65"/>
      <c r="P9" s="67"/>
    </row>
    <row r="10" ht="14.25" customHeight="1" spans="1:16" x14ac:dyDescent="0.25">
      <c r="A10" s="65"/>
      <c r="B10" s="65"/>
      <c r="C10" s="3"/>
      <c r="D10" s="66"/>
      <c r="G10" s="61"/>
      <c r="I10" s="65"/>
      <c r="J10" s="65"/>
      <c r="K10" s="3"/>
      <c r="L10" s="66"/>
      <c r="O10" s="65"/>
      <c r="P10" s="67"/>
    </row>
    <row r="11" ht="14.25" customHeight="1" spans="1:16" x14ac:dyDescent="0.25">
      <c r="A11" s="65"/>
      <c r="B11" s="65"/>
      <c r="C11" s="3"/>
      <c r="D11" s="66"/>
      <c r="G11" s="61"/>
      <c r="I11" s="65"/>
      <c r="J11" s="65"/>
      <c r="K11" s="3"/>
      <c r="L11" s="66"/>
      <c r="O11" s="65"/>
      <c r="P11" s="67"/>
    </row>
    <row r="12" ht="14.25" customHeight="1" spans="1:16" x14ac:dyDescent="0.25">
      <c r="A12" s="65"/>
      <c r="B12" s="65"/>
      <c r="C12" s="3"/>
      <c r="D12" s="66"/>
      <c r="G12" s="61"/>
      <c r="I12" s="65"/>
      <c r="J12" s="65"/>
      <c r="K12" s="3"/>
      <c r="L12" s="66"/>
      <c r="O12" s="68"/>
      <c r="P12" s="69"/>
    </row>
    <row r="13" ht="14.25" customHeight="1" spans="1:16" x14ac:dyDescent="0.25">
      <c r="A13" s="68"/>
      <c r="B13" s="68"/>
      <c r="C13" s="70"/>
      <c r="D13" s="71"/>
      <c r="G13" s="61"/>
      <c r="I13" s="68"/>
      <c r="J13" s="68"/>
      <c r="K13" s="70"/>
      <c r="L13" s="71"/>
    </row>
    <row r="14" ht="14.25" customHeight="1" spans="1:16" x14ac:dyDescent="0.25">
      <c r="G14" s="61"/>
    </row>
    <row r="15" ht="14.25" customHeight="1" spans="1:16" x14ac:dyDescent="0.25">
      <c r="E15">
        <v>0</v>
      </c>
      <c r="G15" s="61"/>
    </row>
    <row r="16" ht="14.25" customHeight="1" spans="1:16" x14ac:dyDescent="0.25">
      <c r="G16" s="61"/>
    </row>
    <row r="17" ht="14.25" customHeight="1" spans="1:16" x14ac:dyDescent="0.25">
      <c r="G17" s="61"/>
    </row>
    <row r="18" ht="14.25" customHeight="1" spans="1:16" x14ac:dyDescent="0.25">
      <c r="G18" s="61"/>
    </row>
    <row r="19" ht="14.25" customHeight="1" spans="1:16" x14ac:dyDescent="0.25">
      <c r="A19" s="58"/>
      <c r="B19" s="58"/>
      <c r="C19" s="60"/>
      <c r="D19" s="3"/>
      <c r="G19" s="61"/>
    </row>
    <row r="20" ht="14.25" customHeight="1" spans="1:16" x14ac:dyDescent="0.25">
      <c r="A20" s="58"/>
      <c r="B20" s="58"/>
      <c r="C20" s="63"/>
      <c r="D20" s="3"/>
      <c r="G20" s="61"/>
    </row>
    <row r="21" ht="14.25" customHeight="1" spans="1:16" x14ac:dyDescent="0.25">
      <c r="A21" s="58"/>
      <c r="B21" s="58"/>
      <c r="C21" s="63"/>
      <c r="D21" s="3"/>
      <c r="G21" s="61"/>
    </row>
    <row r="22" ht="14.25" customHeight="1" spans="1:16" x14ac:dyDescent="0.25">
      <c r="A22" s="65"/>
      <c r="B22" s="65"/>
      <c r="C22" s="66"/>
      <c r="D22" s="3"/>
      <c r="G22" s="61"/>
    </row>
    <row r="23" ht="14.25" customHeight="1" spans="1:16" x14ac:dyDescent="0.25">
      <c r="A23" s="65"/>
      <c r="B23" s="65"/>
      <c r="C23" s="66"/>
      <c r="D23" s="3"/>
      <c r="G23" s="61"/>
    </row>
    <row r="24" ht="14.25" customHeight="1" spans="1:16" x14ac:dyDescent="0.25">
      <c r="A24" s="65"/>
      <c r="B24" s="65"/>
      <c r="C24" s="66"/>
      <c r="D24" s="3"/>
    </row>
    <row r="25" ht="14.25" customHeight="1" spans="1:16" x14ac:dyDescent="0.25">
      <c r="A25" s="68"/>
      <c r="B25" s="68"/>
      <c r="C25" s="71"/>
      <c r="D25" s="3"/>
    </row>
    <row r="26" ht="14.25" customHeight="1" spans="1:16" x14ac:dyDescent="0.25"/>
    <row r="27" ht="14.25" customHeight="1" spans="1:16" x14ac:dyDescent="0.25"/>
    <row r="28" ht="14.25" customHeight="1" spans="1:16" x14ac:dyDescent="0.25"/>
    <row r="29" ht="14.25" customHeight="1" spans="1:16" x14ac:dyDescent="0.25"/>
    <row r="30" ht="14.25" customHeight="1" spans="1:16" x14ac:dyDescent="0.25"/>
    <row r="31" ht="14.25" customHeight="1" spans="1:16" x14ac:dyDescent="0.25"/>
    <row r="32" ht="14.25" customHeight="1" spans="1:16" x14ac:dyDescent="0.25"/>
    <row r="33" ht="14.25" customHeight="1" spans="1:16" x14ac:dyDescent="0.25"/>
    <row r="34" ht="14.25" customHeight="1" spans="1:16" x14ac:dyDescent="0.25"/>
    <row r="35" ht="14.25" customHeight="1" spans="1:16" x14ac:dyDescent="0.25"/>
    <row r="36" ht="14.25" customHeight="1" spans="1:16" x14ac:dyDescent="0.25"/>
    <row r="37" ht="14.25" customHeight="1" spans="1:16" x14ac:dyDescent="0.25"/>
    <row r="38" ht="14.25" customHeight="1" spans="1:16" x14ac:dyDescent="0.25"/>
    <row r="39" ht="14.25" customHeight="1" spans="1:16" x14ac:dyDescent="0.25"/>
    <row r="40" ht="14.25" customHeight="1" spans="1:16" x14ac:dyDescent="0.25"/>
    <row r="41" ht="14.25" customHeight="1" spans="1:16" x14ac:dyDescent="0.25"/>
    <row r="42" ht="14.25" customHeight="1" spans="1:16" x14ac:dyDescent="0.25"/>
    <row r="43" ht="14.25" customHeight="1" spans="1:16" x14ac:dyDescent="0.25"/>
    <row r="44" ht="14.25" customHeight="1" spans="1:16" x14ac:dyDescent="0.25"/>
    <row r="45" ht="14.25" customHeight="1" spans="1:16" x14ac:dyDescent="0.25"/>
    <row r="46" ht="14.25" customHeight="1" spans="1:16" x14ac:dyDescent="0.25"/>
    <row r="47" ht="14.25" customHeight="1" spans="1:16" x14ac:dyDescent="0.25"/>
    <row r="48" ht="14.25" customHeight="1" spans="1:16" x14ac:dyDescent="0.25"/>
    <row r="49" ht="14.25" customHeight="1" spans="1:16" x14ac:dyDescent="0.25"/>
    <row r="50" ht="14.25" customHeight="1" spans="1:16" x14ac:dyDescent="0.25"/>
    <row r="51" ht="14.25" customHeight="1" spans="1:16" x14ac:dyDescent="0.25"/>
    <row r="52" ht="14.25" customHeight="1" spans="1:16" x14ac:dyDescent="0.25"/>
    <row r="53" ht="14.25" customHeight="1" spans="1:16" x14ac:dyDescent="0.25"/>
    <row r="54" ht="14.25" customHeight="1" spans="1:16" x14ac:dyDescent="0.25"/>
    <row r="55" ht="14.25" customHeight="1" spans="1:16" x14ac:dyDescent="0.25"/>
    <row r="56" ht="14.25" customHeight="1" spans="1:16" x14ac:dyDescent="0.25"/>
    <row r="57" ht="14.25" customHeight="1" spans="1:16" x14ac:dyDescent="0.25"/>
    <row r="58" ht="14.25" customHeight="1" spans="1:16" x14ac:dyDescent="0.25"/>
    <row r="59" ht="14.25" customHeight="1" spans="1:16" x14ac:dyDescent="0.25"/>
    <row r="60" ht="14.25" customHeight="1" spans="1:16" x14ac:dyDescent="0.25"/>
    <row r="61" ht="14.25" customHeight="1" spans="1:16" x14ac:dyDescent="0.25"/>
    <row r="62" ht="14.25" customHeight="1" spans="1:16" x14ac:dyDescent="0.25"/>
    <row r="63" ht="14.25" customHeight="1" spans="1:16" x14ac:dyDescent="0.25"/>
    <row r="64" ht="14.25" customHeight="1" spans="1:16" x14ac:dyDescent="0.25"/>
    <row r="65" ht="14.25" customHeight="1" spans="1:16" x14ac:dyDescent="0.25"/>
    <row r="66" ht="14.25" customHeight="1" spans="1:16" x14ac:dyDescent="0.25"/>
    <row r="67" ht="14.25" customHeight="1" spans="1:16" x14ac:dyDescent="0.25"/>
    <row r="68" ht="14.25" customHeight="1" spans="1:16" x14ac:dyDescent="0.25"/>
    <row r="69" ht="14.25" customHeight="1" spans="1:16" x14ac:dyDescent="0.25"/>
    <row r="70" ht="14.25" customHeight="1" spans="1:16" x14ac:dyDescent="0.25"/>
    <row r="71" ht="14.25" customHeight="1" spans="1:16" x14ac:dyDescent="0.25"/>
    <row r="72" ht="14.25" customHeight="1" spans="1:16" x14ac:dyDescent="0.25"/>
    <row r="73" ht="14.25" customHeight="1" spans="1:16" x14ac:dyDescent="0.25"/>
    <row r="74" ht="14.25" customHeight="1" spans="1:16" x14ac:dyDescent="0.25"/>
    <row r="75" ht="14.25" customHeight="1" spans="1:16" x14ac:dyDescent="0.25"/>
    <row r="76" ht="14.25" customHeight="1" spans="1:16" x14ac:dyDescent="0.25"/>
    <row r="77" ht="14.25" customHeight="1" spans="1:16" x14ac:dyDescent="0.25"/>
    <row r="78" ht="14.25" customHeight="1" spans="1:16" x14ac:dyDescent="0.25"/>
    <row r="79" ht="14.25" customHeight="1" spans="1:16" x14ac:dyDescent="0.25"/>
    <row r="80" ht="14.25" customHeight="1" spans="1:16" x14ac:dyDescent="0.25"/>
    <row r="81" ht="14.25" customHeight="1" spans="1:16" x14ac:dyDescent="0.25"/>
    <row r="82" ht="14.25" customHeight="1" spans="1:16" x14ac:dyDescent="0.25"/>
    <row r="83" ht="14.25" customHeight="1" spans="1:16" x14ac:dyDescent="0.25"/>
    <row r="84" ht="14.25" customHeight="1" spans="1:16" x14ac:dyDescent="0.25"/>
    <row r="85" ht="14.25" customHeight="1" spans="1:16" x14ac:dyDescent="0.25"/>
    <row r="86" ht="14.25" customHeight="1" spans="1:16" x14ac:dyDescent="0.25"/>
    <row r="87" ht="14.25" customHeight="1" spans="1:16" x14ac:dyDescent="0.25"/>
    <row r="88" ht="14.25" customHeight="1" spans="1:16" x14ac:dyDescent="0.25"/>
    <row r="89" ht="14.25" customHeight="1" spans="1:16" x14ac:dyDescent="0.25"/>
    <row r="90" ht="14.25" customHeight="1" spans="1:16" x14ac:dyDescent="0.25"/>
    <row r="91" ht="14.25" customHeight="1" spans="1:16" x14ac:dyDescent="0.25"/>
    <row r="92" ht="14.25" customHeight="1" spans="1:16" x14ac:dyDescent="0.25"/>
    <row r="93" ht="14.25" customHeight="1" spans="1:16" x14ac:dyDescent="0.25"/>
    <row r="94" ht="14.25" customHeight="1" spans="1:16" x14ac:dyDescent="0.25"/>
    <row r="95" ht="14.25" customHeight="1" spans="1:16" x14ac:dyDescent="0.25"/>
    <row r="96" ht="14.25" customHeight="1" spans="1:16" x14ac:dyDescent="0.25"/>
    <row r="97" ht="14.25" customHeight="1" spans="1:16" x14ac:dyDescent="0.25"/>
    <row r="98" ht="14.25" customHeight="1" spans="1:16" x14ac:dyDescent="0.25"/>
    <row r="99" ht="14.25" customHeight="1" spans="1:16" x14ac:dyDescent="0.25"/>
    <row r="100" ht="14.25" customHeight="1" spans="1:16" x14ac:dyDescent="0.25"/>
    <row r="101" ht="14.25" customHeight="1" spans="1:16" x14ac:dyDescent="0.25"/>
    <row r="102" ht="14.25" customHeight="1" spans="1:16" x14ac:dyDescent="0.25"/>
    <row r="103" ht="14.25" customHeight="1" spans="1:16" x14ac:dyDescent="0.25"/>
    <row r="104" ht="14.25" customHeight="1" spans="1:16" x14ac:dyDescent="0.25"/>
    <row r="105" ht="14.25" customHeight="1" spans="1:16" x14ac:dyDescent="0.25"/>
    <row r="106" ht="14.25" customHeight="1" spans="1:16" x14ac:dyDescent="0.25"/>
    <row r="107" ht="14.25" customHeight="1" spans="1:16" x14ac:dyDescent="0.25"/>
    <row r="108" ht="14.25" customHeight="1" spans="1:16" x14ac:dyDescent="0.25"/>
    <row r="109" ht="14.25" customHeight="1" spans="1:16" x14ac:dyDescent="0.25"/>
    <row r="110" ht="14.25" customHeight="1" spans="1:16" x14ac:dyDescent="0.25"/>
    <row r="111" ht="14.25" customHeight="1" spans="1:16" x14ac:dyDescent="0.25"/>
    <row r="112" ht="14.25" customHeight="1" spans="1:16" x14ac:dyDescent="0.25"/>
    <row r="113" ht="14.25" customHeight="1" spans="1:16" x14ac:dyDescent="0.25"/>
    <row r="114" ht="14.25" customHeight="1" spans="1:16" x14ac:dyDescent="0.25"/>
    <row r="115" ht="14.25" customHeight="1" spans="1:16" x14ac:dyDescent="0.25"/>
    <row r="116" ht="14.25" customHeight="1" spans="1:16" x14ac:dyDescent="0.25"/>
    <row r="117" ht="14.25" customHeight="1" spans="1:16" x14ac:dyDescent="0.25"/>
    <row r="118" ht="14.25" customHeight="1" spans="1:16" x14ac:dyDescent="0.25"/>
    <row r="119" ht="14.25" customHeight="1" spans="1:16" x14ac:dyDescent="0.25"/>
    <row r="120" ht="14.25" customHeight="1" spans="1:16" x14ac:dyDescent="0.25"/>
    <row r="121" ht="14.25" customHeight="1" spans="1:16" x14ac:dyDescent="0.25"/>
    <row r="122" ht="14.25" customHeight="1" spans="1:16" x14ac:dyDescent="0.25"/>
    <row r="123" ht="14.25" customHeight="1" spans="1:16" x14ac:dyDescent="0.25"/>
    <row r="124" ht="14.25" customHeight="1" spans="1:16" x14ac:dyDescent="0.25"/>
    <row r="125" ht="14.25" customHeight="1" spans="1:16" x14ac:dyDescent="0.25"/>
    <row r="126" ht="14.25" customHeight="1" spans="1:16" x14ac:dyDescent="0.25"/>
    <row r="127" ht="14.25" customHeight="1" spans="1:16" x14ac:dyDescent="0.25"/>
    <row r="128" ht="14.25" customHeight="1" spans="1:16" x14ac:dyDescent="0.25"/>
    <row r="129" ht="14.25" customHeight="1" spans="1:16" x14ac:dyDescent="0.25"/>
    <row r="130" ht="14.25" customHeight="1" spans="1:16" x14ac:dyDescent="0.25"/>
    <row r="131" ht="14.25" customHeight="1" spans="1:16" x14ac:dyDescent="0.25"/>
    <row r="132" ht="14.25" customHeight="1" spans="1:16" x14ac:dyDescent="0.25"/>
    <row r="133" ht="14.25" customHeight="1" spans="1:16" x14ac:dyDescent="0.25"/>
    <row r="134" ht="14.25" customHeight="1" spans="1:16" x14ac:dyDescent="0.25"/>
    <row r="135" ht="14.25" customHeight="1" spans="1:16" x14ac:dyDescent="0.25"/>
    <row r="136" ht="14.25" customHeight="1" spans="1:16" x14ac:dyDescent="0.25"/>
    <row r="137" ht="14.25" customHeight="1" spans="1:16" x14ac:dyDescent="0.25"/>
    <row r="138" ht="14.25" customHeight="1" spans="1:16" x14ac:dyDescent="0.25"/>
    <row r="139" ht="14.25" customHeight="1" spans="1:16" x14ac:dyDescent="0.25"/>
    <row r="140" ht="14.25" customHeight="1" spans="1:16" x14ac:dyDescent="0.25"/>
    <row r="141" ht="14.25" customHeight="1" spans="1:16" x14ac:dyDescent="0.25"/>
    <row r="142" ht="14.25" customHeight="1" spans="1:16" x14ac:dyDescent="0.25"/>
    <row r="143" ht="14.25" customHeight="1" spans="1:16" x14ac:dyDescent="0.25"/>
    <row r="144" ht="14.25" customHeight="1" spans="1:16" x14ac:dyDescent="0.25"/>
    <row r="145" ht="14.25" customHeight="1" spans="1:16" x14ac:dyDescent="0.25"/>
    <row r="146" ht="14.25" customHeight="1" spans="1:16" x14ac:dyDescent="0.25"/>
    <row r="147" ht="14.25" customHeight="1" spans="1:16" x14ac:dyDescent="0.25"/>
    <row r="148" ht="14.25" customHeight="1" spans="1:16" x14ac:dyDescent="0.25"/>
    <row r="149" ht="14.25" customHeight="1" spans="1:16" x14ac:dyDescent="0.25"/>
    <row r="150" ht="14.25" customHeight="1" spans="1:16" x14ac:dyDescent="0.25"/>
    <row r="151" ht="14.25" customHeight="1" spans="1:16" x14ac:dyDescent="0.25"/>
    <row r="152" ht="14.25" customHeight="1" spans="1:16" x14ac:dyDescent="0.25"/>
    <row r="153" ht="14.25" customHeight="1" spans="1:16" x14ac:dyDescent="0.25"/>
    <row r="154" ht="14.25" customHeight="1" spans="1:16" x14ac:dyDescent="0.25"/>
    <row r="155" ht="14.25" customHeight="1" spans="1:16" x14ac:dyDescent="0.25"/>
    <row r="156" ht="14.25" customHeight="1" spans="1:16" x14ac:dyDescent="0.25"/>
    <row r="157" ht="14.25" customHeight="1" spans="1:16" x14ac:dyDescent="0.25"/>
    <row r="158" ht="14.25" customHeight="1" spans="1:16" x14ac:dyDescent="0.25"/>
    <row r="159" ht="14.25" customHeight="1" spans="1:16" x14ac:dyDescent="0.25"/>
    <row r="160" ht="14.25" customHeight="1" spans="1:16" x14ac:dyDescent="0.25"/>
    <row r="161" ht="14.25" customHeight="1" spans="1:16" x14ac:dyDescent="0.25"/>
    <row r="162" ht="14.25" customHeight="1" spans="1:16" x14ac:dyDescent="0.25"/>
    <row r="163" ht="14.25" customHeight="1" spans="1:16" x14ac:dyDescent="0.25"/>
    <row r="164" ht="14.25" customHeight="1" spans="1:16" x14ac:dyDescent="0.25"/>
    <row r="165" ht="14.25" customHeight="1" spans="1:16" x14ac:dyDescent="0.25"/>
    <row r="166" ht="14.25" customHeight="1" spans="1:16" x14ac:dyDescent="0.25"/>
    <row r="167" ht="14.25" customHeight="1" spans="1:16" x14ac:dyDescent="0.25"/>
    <row r="168" ht="14.25" customHeight="1" spans="1:16" x14ac:dyDescent="0.25"/>
    <row r="169" ht="14.25" customHeight="1" spans="1:16" x14ac:dyDescent="0.25"/>
    <row r="170" ht="14.25" customHeight="1" spans="1:16" x14ac:dyDescent="0.25"/>
    <row r="171" ht="14.25" customHeight="1" spans="1:16" x14ac:dyDescent="0.25"/>
    <row r="172" ht="14.25" customHeight="1" spans="1:16" x14ac:dyDescent="0.25"/>
    <row r="173" ht="14.25" customHeight="1" spans="1:16" x14ac:dyDescent="0.25"/>
    <row r="174" ht="14.25" customHeight="1" spans="1:16" x14ac:dyDescent="0.25"/>
    <row r="175" ht="14.25" customHeight="1" spans="1:16" x14ac:dyDescent="0.25"/>
    <row r="176" ht="14.25" customHeight="1" spans="1:16" x14ac:dyDescent="0.25"/>
    <row r="177" ht="14.25" customHeight="1" spans="1:16" x14ac:dyDescent="0.25"/>
    <row r="178" ht="14.25" customHeight="1" spans="1:16" x14ac:dyDescent="0.25"/>
    <row r="179" ht="14.25" customHeight="1" spans="1:16" x14ac:dyDescent="0.25"/>
    <row r="180" ht="14.25" customHeight="1" spans="1:16" x14ac:dyDescent="0.25"/>
    <row r="181" ht="14.25" customHeight="1" spans="1:16" x14ac:dyDescent="0.25"/>
    <row r="182" ht="14.25" customHeight="1" spans="1:16" x14ac:dyDescent="0.25"/>
    <row r="183" ht="14.25" customHeight="1" spans="1:16" x14ac:dyDescent="0.25"/>
    <row r="184" ht="14.25" customHeight="1" spans="1:16" x14ac:dyDescent="0.25"/>
    <row r="185" ht="14.25" customHeight="1" spans="1:16" x14ac:dyDescent="0.25"/>
    <row r="186" ht="14.25" customHeight="1" spans="1:16" x14ac:dyDescent="0.25"/>
    <row r="187" ht="14.25" customHeight="1" spans="1:16" x14ac:dyDescent="0.25"/>
    <row r="188" ht="14.25" customHeight="1" spans="1:16" x14ac:dyDescent="0.25"/>
    <row r="189" ht="14.25" customHeight="1" spans="1:16" x14ac:dyDescent="0.25"/>
    <row r="190" ht="14.25" customHeight="1" spans="1:16" x14ac:dyDescent="0.25"/>
    <row r="191" ht="14.25" customHeight="1" spans="1:16" x14ac:dyDescent="0.25"/>
    <row r="192" ht="14.25" customHeight="1" spans="1:16" x14ac:dyDescent="0.25"/>
    <row r="193" ht="14.25" customHeight="1" spans="1:16" x14ac:dyDescent="0.25"/>
    <row r="194" ht="14.25" customHeight="1" spans="1:16" x14ac:dyDescent="0.25"/>
    <row r="195" ht="14.25" customHeight="1" spans="1:16" x14ac:dyDescent="0.25"/>
    <row r="196" ht="14.25" customHeight="1" spans="1:16" x14ac:dyDescent="0.25"/>
    <row r="197" ht="14.25" customHeight="1" spans="1:16" x14ac:dyDescent="0.25"/>
    <row r="198" ht="14.25" customHeight="1" spans="1:16" x14ac:dyDescent="0.25"/>
    <row r="199" ht="14.25" customHeight="1" spans="1:16" x14ac:dyDescent="0.25"/>
    <row r="200" ht="14.25" customHeight="1" spans="1:16" x14ac:dyDescent="0.25"/>
    <row r="201" ht="14.25" customHeight="1" spans="1:16" x14ac:dyDescent="0.25"/>
    <row r="202" ht="14.25" customHeight="1" spans="1:16" x14ac:dyDescent="0.25"/>
    <row r="203" ht="14.25" customHeight="1" spans="1:16" x14ac:dyDescent="0.25"/>
    <row r="204" ht="14.25" customHeight="1" spans="1:16" x14ac:dyDescent="0.25"/>
    <row r="205" ht="14.25" customHeight="1" spans="1:16" x14ac:dyDescent="0.25"/>
    <row r="206" ht="14.25" customHeight="1" spans="1:16" x14ac:dyDescent="0.25"/>
    <row r="207" ht="14.25" customHeight="1" spans="1:16" x14ac:dyDescent="0.25"/>
    <row r="208" ht="14.25" customHeight="1" spans="1:16" x14ac:dyDescent="0.25"/>
    <row r="209" ht="14.25" customHeight="1" spans="1:16" x14ac:dyDescent="0.25"/>
    <row r="210" ht="14.25" customHeight="1" spans="1:16" x14ac:dyDescent="0.25"/>
    <row r="211" ht="14.25" customHeight="1" spans="1:16" x14ac:dyDescent="0.25"/>
    <row r="212" ht="14.25" customHeight="1" spans="1:16" x14ac:dyDescent="0.25"/>
    <row r="213" ht="14.25" customHeight="1" spans="1:16" x14ac:dyDescent="0.25"/>
    <row r="214" ht="14.25" customHeight="1" spans="1:16" x14ac:dyDescent="0.25"/>
    <row r="215" ht="14.25" customHeight="1" spans="1:16" x14ac:dyDescent="0.25"/>
    <row r="216" ht="14.25" customHeight="1" spans="1:16" x14ac:dyDescent="0.25"/>
    <row r="217" ht="14.25" customHeight="1" spans="1:16" x14ac:dyDescent="0.25"/>
    <row r="218" ht="14.25" customHeight="1" spans="1:16" x14ac:dyDescent="0.25"/>
    <row r="219" ht="14.25" customHeight="1" spans="1:16" x14ac:dyDescent="0.25"/>
    <row r="220" ht="14.25" customHeight="1" spans="1:16" x14ac:dyDescent="0.25"/>
    <row r="221" ht="14.25" customHeight="1" spans="1:16" x14ac:dyDescent="0.25"/>
    <row r="222" ht="14.25" customHeight="1" spans="1:16" x14ac:dyDescent="0.25"/>
    <row r="223" ht="14.25" customHeight="1" spans="1:16" x14ac:dyDescent="0.25"/>
    <row r="224" ht="14.25" customHeight="1" spans="1:16" x14ac:dyDescent="0.25"/>
    <row r="225" ht="14.25" customHeight="1" spans="1:16" x14ac:dyDescent="0.25"/>
    <row r="226" ht="14.25" customHeight="1" spans="1:16" x14ac:dyDescent="0.25"/>
    <row r="227" ht="14.25" customHeight="1" spans="1:16" x14ac:dyDescent="0.25"/>
    <row r="228" ht="14.25" customHeight="1" spans="1:16" x14ac:dyDescent="0.25"/>
    <row r="229" ht="14.25" customHeight="1" spans="1:16" x14ac:dyDescent="0.25"/>
    <row r="230" ht="14.25" customHeight="1" spans="1:16" x14ac:dyDescent="0.25"/>
    <row r="231" ht="14.25" customHeight="1" spans="1:16" x14ac:dyDescent="0.25"/>
    <row r="232" ht="14.25" customHeight="1" spans="1:16" x14ac:dyDescent="0.25"/>
    <row r="233" ht="14.25" customHeight="1" spans="1:16" x14ac:dyDescent="0.25"/>
    <row r="234" ht="14.25" customHeight="1" spans="1:16" x14ac:dyDescent="0.25"/>
    <row r="235" ht="14.25" customHeight="1" spans="1:16" x14ac:dyDescent="0.25"/>
    <row r="236" ht="14.25" customHeight="1" spans="1:16" x14ac:dyDescent="0.25"/>
    <row r="237" ht="14.25" customHeight="1" spans="1:16" x14ac:dyDescent="0.25"/>
    <row r="238" ht="14.25" customHeight="1" spans="1:16" x14ac:dyDescent="0.25"/>
    <row r="239" ht="14.25" customHeight="1" spans="1:16" x14ac:dyDescent="0.25"/>
    <row r="240" ht="14.25" customHeight="1" spans="1:16" x14ac:dyDescent="0.25"/>
    <row r="241" ht="14.25" customHeight="1" spans="1:16" x14ac:dyDescent="0.25"/>
    <row r="242" ht="14.25" customHeight="1" spans="1:16" x14ac:dyDescent="0.25"/>
    <row r="243" ht="14.25" customHeight="1" spans="1:16" x14ac:dyDescent="0.25"/>
    <row r="244" ht="14.25" customHeight="1" spans="1:16" x14ac:dyDescent="0.25"/>
    <row r="245" ht="14.25" customHeight="1" spans="1:16" x14ac:dyDescent="0.25"/>
    <row r="246" ht="14.25" customHeight="1" spans="1:16" x14ac:dyDescent="0.25"/>
    <row r="247" ht="14.25" customHeight="1" spans="1:16" x14ac:dyDescent="0.25"/>
    <row r="248" ht="14.25" customHeight="1" spans="1:16" x14ac:dyDescent="0.25"/>
    <row r="249" ht="14.25" customHeight="1" spans="1:16" x14ac:dyDescent="0.25"/>
    <row r="250" ht="14.25" customHeight="1" spans="1:16" x14ac:dyDescent="0.25"/>
    <row r="251" ht="14.25" customHeight="1" spans="1:16" x14ac:dyDescent="0.25"/>
    <row r="252" ht="14.25" customHeight="1" spans="1:16" x14ac:dyDescent="0.25"/>
    <row r="253" ht="14.25" customHeight="1" spans="1:16" x14ac:dyDescent="0.25"/>
    <row r="254" ht="14.25" customHeight="1" spans="1:16" x14ac:dyDescent="0.25"/>
    <row r="255" ht="14.25" customHeight="1" spans="1:16" x14ac:dyDescent="0.25"/>
    <row r="256" ht="14.25" customHeight="1" spans="1:16" x14ac:dyDescent="0.25"/>
    <row r="257" ht="14.25" customHeight="1" spans="1:16" x14ac:dyDescent="0.25"/>
    <row r="258" ht="14.25" customHeight="1" spans="1:16" x14ac:dyDescent="0.25"/>
    <row r="259" ht="14.25" customHeight="1" spans="1:16" x14ac:dyDescent="0.25"/>
    <row r="260" ht="14.25" customHeight="1" spans="1:16" x14ac:dyDescent="0.25"/>
    <row r="261" ht="14.25" customHeight="1" spans="1:16" x14ac:dyDescent="0.25"/>
    <row r="262" ht="14.25" customHeight="1" spans="1:16" x14ac:dyDescent="0.25"/>
    <row r="263" ht="14.25" customHeight="1" spans="1:16" x14ac:dyDescent="0.25"/>
    <row r="264" ht="14.25" customHeight="1" spans="1:16" x14ac:dyDescent="0.25"/>
    <row r="265" ht="14.25" customHeight="1" spans="1:16" x14ac:dyDescent="0.25"/>
    <row r="266" ht="14.25" customHeight="1" spans="1:16" x14ac:dyDescent="0.25"/>
    <row r="267" ht="14.25" customHeight="1" spans="1:16" x14ac:dyDescent="0.25"/>
    <row r="268" ht="14.25" customHeight="1" spans="1:16" x14ac:dyDescent="0.25"/>
    <row r="269" ht="14.25" customHeight="1" spans="1:16" x14ac:dyDescent="0.25"/>
    <row r="270" ht="14.25" customHeight="1" spans="1:16" x14ac:dyDescent="0.25"/>
    <row r="271" ht="14.25" customHeight="1" spans="1:16" x14ac:dyDescent="0.25"/>
    <row r="272" ht="14.25" customHeight="1" spans="1:16" x14ac:dyDescent="0.25"/>
    <row r="273" ht="14.25" customHeight="1" spans="1:16" x14ac:dyDescent="0.25"/>
    <row r="274" ht="14.25" customHeight="1" spans="1:16" x14ac:dyDescent="0.25"/>
    <row r="275" ht="14.25" customHeight="1" spans="1:16" x14ac:dyDescent="0.25"/>
    <row r="276" ht="14.25" customHeight="1" spans="1:16" x14ac:dyDescent="0.25"/>
    <row r="277" ht="14.25" customHeight="1" spans="1:16" x14ac:dyDescent="0.25"/>
    <row r="278" ht="14.25" customHeight="1" spans="1:16" x14ac:dyDescent="0.25"/>
    <row r="279" ht="14.25" customHeight="1" spans="1:16" x14ac:dyDescent="0.25"/>
    <row r="280" ht="14.25" customHeight="1" spans="1:16" x14ac:dyDescent="0.25"/>
    <row r="281" ht="14.25" customHeight="1" spans="1:16" x14ac:dyDescent="0.25"/>
    <row r="282" ht="14.25" customHeight="1" spans="1:16" x14ac:dyDescent="0.25"/>
    <row r="283" ht="14.25" customHeight="1" spans="1:16" x14ac:dyDescent="0.25"/>
    <row r="284" ht="14.25" customHeight="1" spans="1:16" x14ac:dyDescent="0.25"/>
    <row r="285" ht="14.25" customHeight="1" spans="1:16" x14ac:dyDescent="0.25"/>
    <row r="286" ht="14.25" customHeight="1" spans="1:16" x14ac:dyDescent="0.25"/>
    <row r="287" ht="14.25" customHeight="1" spans="1:16" x14ac:dyDescent="0.25"/>
    <row r="288" ht="14.25" customHeight="1" spans="1:16" x14ac:dyDescent="0.25"/>
    <row r="289" ht="14.25" customHeight="1" spans="1:16" x14ac:dyDescent="0.25"/>
    <row r="290" ht="14.25" customHeight="1" spans="1:16" x14ac:dyDescent="0.25"/>
    <row r="291" ht="14.25" customHeight="1" spans="1:16" x14ac:dyDescent="0.25"/>
    <row r="292" ht="14.25" customHeight="1" spans="1:16" x14ac:dyDescent="0.25"/>
    <row r="293" ht="14.25" customHeight="1" spans="1:16" x14ac:dyDescent="0.25"/>
    <row r="294" ht="14.25" customHeight="1" spans="1:16" x14ac:dyDescent="0.25"/>
    <row r="295" ht="14.25" customHeight="1" spans="1:16" x14ac:dyDescent="0.25"/>
    <row r="296" ht="14.25" customHeight="1" spans="1:16" x14ac:dyDescent="0.25"/>
    <row r="297" ht="14.25" customHeight="1" spans="1:16" x14ac:dyDescent="0.25"/>
    <row r="298" ht="14.25" customHeight="1" spans="1:16" x14ac:dyDescent="0.25"/>
    <row r="299" ht="14.25" customHeight="1" spans="1:16" x14ac:dyDescent="0.25"/>
    <row r="300" ht="14.25" customHeight="1" spans="1:16" x14ac:dyDescent="0.25"/>
    <row r="301" ht="14.25" customHeight="1" spans="1:16" x14ac:dyDescent="0.25"/>
    <row r="302" ht="14.25" customHeight="1" spans="1:16" x14ac:dyDescent="0.25"/>
    <row r="303" ht="14.25" customHeight="1" spans="1:16" x14ac:dyDescent="0.25"/>
    <row r="304" ht="14.25" customHeight="1" spans="1:16" x14ac:dyDescent="0.25"/>
    <row r="305" ht="14.25" customHeight="1" spans="1:16" x14ac:dyDescent="0.25"/>
    <row r="306" ht="14.25" customHeight="1" spans="1:16" x14ac:dyDescent="0.25"/>
    <row r="307" ht="14.25" customHeight="1" spans="1:16" x14ac:dyDescent="0.25"/>
    <row r="308" ht="14.25" customHeight="1" spans="1:16" x14ac:dyDescent="0.25"/>
    <row r="309" ht="14.25" customHeight="1" spans="1:16" x14ac:dyDescent="0.25"/>
    <row r="310" ht="14.25" customHeight="1" spans="1:16" x14ac:dyDescent="0.25"/>
    <row r="311" ht="14.25" customHeight="1" spans="1:16" x14ac:dyDescent="0.25"/>
    <row r="312" ht="14.25" customHeight="1" spans="1:16" x14ac:dyDescent="0.25"/>
    <row r="313" ht="14.25" customHeight="1" spans="1:16" x14ac:dyDescent="0.25"/>
    <row r="314" ht="14.25" customHeight="1" spans="1:16" x14ac:dyDescent="0.25"/>
    <row r="315" ht="14.25" customHeight="1" spans="1:16" x14ac:dyDescent="0.25"/>
    <row r="316" ht="14.25" customHeight="1" spans="1:16" x14ac:dyDescent="0.25"/>
    <row r="317" ht="14.25" customHeight="1" spans="1:16" x14ac:dyDescent="0.25"/>
    <row r="318" ht="14.25" customHeight="1" spans="1:16" x14ac:dyDescent="0.25"/>
    <row r="319" ht="14.25" customHeight="1" spans="1:16" x14ac:dyDescent="0.25"/>
    <row r="320" ht="14.25" customHeight="1" spans="1:16" x14ac:dyDescent="0.25"/>
    <row r="321" ht="14.25" customHeight="1" spans="1:16" x14ac:dyDescent="0.25"/>
    <row r="322" ht="14.25" customHeight="1" spans="1:16" x14ac:dyDescent="0.25"/>
    <row r="323" ht="14.25" customHeight="1" spans="1:16" x14ac:dyDescent="0.25"/>
    <row r="324" ht="14.25" customHeight="1" spans="1:16" x14ac:dyDescent="0.25"/>
    <row r="325" ht="14.25" customHeight="1" spans="1:16" x14ac:dyDescent="0.25"/>
    <row r="326" ht="14.25" customHeight="1" spans="1:16" x14ac:dyDescent="0.25"/>
    <row r="327" ht="14.25" customHeight="1" spans="1:16" x14ac:dyDescent="0.25"/>
    <row r="328" ht="14.25" customHeight="1" spans="1:16" x14ac:dyDescent="0.25"/>
    <row r="329" ht="14.25" customHeight="1" spans="1:16" x14ac:dyDescent="0.25"/>
    <row r="330" ht="14.25" customHeight="1" spans="1:16" x14ac:dyDescent="0.25"/>
    <row r="331" ht="14.25" customHeight="1" spans="1:16" x14ac:dyDescent="0.25"/>
    <row r="332" ht="14.25" customHeight="1" spans="1:16" x14ac:dyDescent="0.25"/>
    <row r="333" ht="14.25" customHeight="1" spans="1:16" x14ac:dyDescent="0.25"/>
    <row r="334" ht="14.25" customHeight="1" spans="1:16" x14ac:dyDescent="0.25"/>
    <row r="335" ht="14.25" customHeight="1" spans="1:16" x14ac:dyDescent="0.25"/>
    <row r="336" ht="14.25" customHeight="1" spans="1:16" x14ac:dyDescent="0.25"/>
    <row r="337" ht="14.25" customHeight="1" spans="1:16" x14ac:dyDescent="0.25"/>
    <row r="338" ht="14.25" customHeight="1" spans="1:16" x14ac:dyDescent="0.25"/>
    <row r="339" ht="14.25" customHeight="1" spans="1:16" x14ac:dyDescent="0.25"/>
    <row r="340" ht="14.25" customHeight="1" spans="1:16" x14ac:dyDescent="0.25"/>
    <row r="341" ht="14.25" customHeight="1" spans="1:16" x14ac:dyDescent="0.25"/>
    <row r="342" ht="14.25" customHeight="1" spans="1:16" x14ac:dyDescent="0.25"/>
    <row r="343" ht="14.25" customHeight="1" spans="1:16" x14ac:dyDescent="0.25"/>
    <row r="344" ht="14.25" customHeight="1" spans="1:16" x14ac:dyDescent="0.25"/>
    <row r="345" ht="14.25" customHeight="1" spans="1:16" x14ac:dyDescent="0.25"/>
    <row r="346" ht="14.25" customHeight="1" spans="1:16" x14ac:dyDescent="0.25"/>
    <row r="347" ht="14.25" customHeight="1" spans="1:16" x14ac:dyDescent="0.25"/>
    <row r="348" ht="14.25" customHeight="1" spans="1:16" x14ac:dyDescent="0.25"/>
    <row r="349" ht="14.25" customHeight="1" spans="1:16" x14ac:dyDescent="0.25"/>
    <row r="350" ht="14.25" customHeight="1" spans="1:16" x14ac:dyDescent="0.25"/>
    <row r="351" ht="14.25" customHeight="1" spans="1:16" x14ac:dyDescent="0.25"/>
    <row r="352" ht="14.25" customHeight="1" spans="1:16" x14ac:dyDescent="0.25"/>
    <row r="353" ht="14.25" customHeight="1" spans="1:16" x14ac:dyDescent="0.25"/>
    <row r="354" ht="14.25" customHeight="1" spans="1:16" x14ac:dyDescent="0.25"/>
    <row r="355" ht="14.25" customHeight="1" spans="1:16" x14ac:dyDescent="0.25"/>
    <row r="356" ht="14.25" customHeight="1" spans="1:16" x14ac:dyDescent="0.25"/>
    <row r="357" ht="14.25" customHeight="1" spans="1:16" x14ac:dyDescent="0.25"/>
    <row r="358" ht="14.25" customHeight="1" spans="1:16" x14ac:dyDescent="0.25"/>
    <row r="359" ht="14.25" customHeight="1" spans="1:16" x14ac:dyDescent="0.25"/>
    <row r="360" ht="14.25" customHeight="1" spans="1:16" x14ac:dyDescent="0.25"/>
    <row r="361" ht="14.25" customHeight="1" spans="1:16" x14ac:dyDescent="0.25"/>
    <row r="362" ht="14.25" customHeight="1" spans="1:16" x14ac:dyDescent="0.25"/>
    <row r="363" ht="14.25" customHeight="1" spans="1:16" x14ac:dyDescent="0.25"/>
    <row r="364" ht="14.25" customHeight="1" spans="1:16" x14ac:dyDescent="0.25"/>
    <row r="365" ht="14.25" customHeight="1" spans="1:16" x14ac:dyDescent="0.25"/>
    <row r="366" ht="14.25" customHeight="1" spans="1:16" x14ac:dyDescent="0.25"/>
    <row r="367" ht="14.25" customHeight="1" spans="1:16" x14ac:dyDescent="0.25"/>
    <row r="368" ht="14.25" customHeight="1" spans="1:16" x14ac:dyDescent="0.25"/>
    <row r="369" ht="14.25" customHeight="1" spans="1:16" x14ac:dyDescent="0.25"/>
    <row r="370" ht="14.25" customHeight="1" spans="1:16" x14ac:dyDescent="0.25"/>
    <row r="371" ht="14.25" customHeight="1" spans="1:16" x14ac:dyDescent="0.25"/>
    <row r="372" ht="14.25" customHeight="1" spans="1:16" x14ac:dyDescent="0.25"/>
    <row r="373" ht="14.25" customHeight="1" spans="1:16" x14ac:dyDescent="0.25"/>
    <row r="374" ht="14.25" customHeight="1" spans="1:16" x14ac:dyDescent="0.25"/>
    <row r="375" ht="14.25" customHeight="1" spans="1:16" x14ac:dyDescent="0.25"/>
    <row r="376" ht="14.25" customHeight="1" spans="1:16" x14ac:dyDescent="0.25"/>
    <row r="377" ht="14.25" customHeight="1" spans="1:16" x14ac:dyDescent="0.25"/>
    <row r="378" ht="14.25" customHeight="1" spans="1:16" x14ac:dyDescent="0.25"/>
    <row r="379" ht="14.25" customHeight="1" spans="1:16" x14ac:dyDescent="0.25"/>
    <row r="380" ht="14.25" customHeight="1" spans="1:16" x14ac:dyDescent="0.25"/>
    <row r="381" ht="14.25" customHeight="1" spans="1:16" x14ac:dyDescent="0.25"/>
    <row r="382" ht="14.25" customHeight="1" spans="1:16" x14ac:dyDescent="0.25"/>
    <row r="383" ht="14.25" customHeight="1" spans="1:16" x14ac:dyDescent="0.25"/>
    <row r="384" ht="14.25" customHeight="1" spans="1:16" x14ac:dyDescent="0.25"/>
    <row r="385" ht="14.25" customHeight="1" spans="1:16" x14ac:dyDescent="0.25"/>
    <row r="386" ht="14.25" customHeight="1" spans="1:16" x14ac:dyDescent="0.25"/>
    <row r="387" ht="14.25" customHeight="1" spans="1:16" x14ac:dyDescent="0.25"/>
    <row r="388" ht="14.25" customHeight="1" spans="1:16" x14ac:dyDescent="0.25"/>
    <row r="389" ht="14.25" customHeight="1" spans="1:16" x14ac:dyDescent="0.25"/>
    <row r="390" ht="14.25" customHeight="1" spans="1:16" x14ac:dyDescent="0.25"/>
    <row r="391" ht="14.25" customHeight="1" spans="1:16" x14ac:dyDescent="0.25"/>
    <row r="392" ht="14.25" customHeight="1" spans="1:16" x14ac:dyDescent="0.25"/>
    <row r="393" ht="14.25" customHeight="1" spans="1:16" x14ac:dyDescent="0.25"/>
    <row r="394" ht="14.25" customHeight="1" spans="1:16" x14ac:dyDescent="0.25"/>
    <row r="395" ht="14.25" customHeight="1" spans="1:16" x14ac:dyDescent="0.25"/>
    <row r="396" ht="14.25" customHeight="1" spans="1:16" x14ac:dyDescent="0.25"/>
    <row r="397" ht="14.25" customHeight="1" spans="1:16" x14ac:dyDescent="0.25"/>
    <row r="398" ht="14.25" customHeight="1" spans="1:16" x14ac:dyDescent="0.25"/>
    <row r="399" ht="14.25" customHeight="1" spans="1:16" x14ac:dyDescent="0.25"/>
    <row r="400" ht="14.25" customHeight="1" spans="1:16" x14ac:dyDescent="0.25"/>
    <row r="401" ht="14.25" customHeight="1" spans="1:16" x14ac:dyDescent="0.25"/>
    <row r="402" ht="14.25" customHeight="1" spans="1:16" x14ac:dyDescent="0.25"/>
    <row r="403" ht="14.25" customHeight="1" spans="1:16" x14ac:dyDescent="0.25"/>
    <row r="404" ht="14.25" customHeight="1" spans="1:16" x14ac:dyDescent="0.25"/>
    <row r="405" ht="14.25" customHeight="1" spans="1:16" x14ac:dyDescent="0.25"/>
    <row r="406" ht="14.25" customHeight="1" spans="1:16" x14ac:dyDescent="0.25"/>
    <row r="407" ht="14.25" customHeight="1" spans="1:16" x14ac:dyDescent="0.25"/>
    <row r="408" ht="14.25" customHeight="1" spans="1:16" x14ac:dyDescent="0.25"/>
    <row r="409" ht="14.25" customHeight="1" spans="1:16" x14ac:dyDescent="0.25"/>
    <row r="410" ht="14.25" customHeight="1" spans="1:16" x14ac:dyDescent="0.25"/>
    <row r="411" ht="14.25" customHeight="1" spans="1:16" x14ac:dyDescent="0.25"/>
    <row r="412" ht="14.25" customHeight="1" spans="1:16" x14ac:dyDescent="0.25"/>
    <row r="413" ht="14.25" customHeight="1" spans="1:16" x14ac:dyDescent="0.25"/>
    <row r="414" ht="14.25" customHeight="1" spans="1:16" x14ac:dyDescent="0.25"/>
    <row r="415" ht="14.25" customHeight="1" spans="1:16" x14ac:dyDescent="0.25"/>
    <row r="416" ht="14.25" customHeight="1" spans="1:16" x14ac:dyDescent="0.25"/>
    <row r="417" ht="14.25" customHeight="1" spans="1:16" x14ac:dyDescent="0.25"/>
    <row r="418" ht="14.25" customHeight="1" spans="1:16" x14ac:dyDescent="0.25"/>
    <row r="419" ht="14.25" customHeight="1" spans="1:16" x14ac:dyDescent="0.25"/>
    <row r="420" ht="14.25" customHeight="1" spans="1:16" x14ac:dyDescent="0.25"/>
    <row r="421" ht="14.25" customHeight="1" spans="1:16" x14ac:dyDescent="0.25"/>
    <row r="422" ht="14.25" customHeight="1" spans="1:16" x14ac:dyDescent="0.25"/>
    <row r="423" ht="14.25" customHeight="1" spans="1:16" x14ac:dyDescent="0.25"/>
    <row r="424" ht="14.25" customHeight="1" spans="1:16" x14ac:dyDescent="0.25"/>
    <row r="425" ht="14.25" customHeight="1" spans="1:16" x14ac:dyDescent="0.25"/>
    <row r="426" ht="14.25" customHeight="1" spans="1:16" x14ac:dyDescent="0.25"/>
    <row r="427" ht="14.25" customHeight="1" spans="1:16" x14ac:dyDescent="0.25"/>
    <row r="428" ht="14.25" customHeight="1" spans="1:16" x14ac:dyDescent="0.25"/>
    <row r="429" ht="14.25" customHeight="1" spans="1:16" x14ac:dyDescent="0.25"/>
    <row r="430" ht="14.25" customHeight="1" spans="1:16" x14ac:dyDescent="0.25"/>
    <row r="431" ht="14.25" customHeight="1" spans="1:16" x14ac:dyDescent="0.25"/>
    <row r="432" ht="14.25" customHeight="1" spans="1:16" x14ac:dyDescent="0.25"/>
    <row r="433" ht="14.25" customHeight="1" spans="1:16" x14ac:dyDescent="0.25"/>
    <row r="434" ht="14.25" customHeight="1" spans="1:16" x14ac:dyDescent="0.25"/>
    <row r="435" ht="14.25" customHeight="1" spans="1:16" x14ac:dyDescent="0.25"/>
    <row r="436" ht="14.25" customHeight="1" spans="1:16" x14ac:dyDescent="0.25"/>
    <row r="437" ht="14.25" customHeight="1" spans="1:16" x14ac:dyDescent="0.25"/>
    <row r="438" ht="14.25" customHeight="1" spans="1:16" x14ac:dyDescent="0.25"/>
    <row r="439" ht="14.25" customHeight="1" spans="1:16" x14ac:dyDescent="0.25"/>
    <row r="440" ht="14.25" customHeight="1" spans="1:16" x14ac:dyDescent="0.25"/>
    <row r="441" ht="14.25" customHeight="1" spans="1:16" x14ac:dyDescent="0.25"/>
    <row r="442" ht="14.25" customHeight="1" spans="1:16" x14ac:dyDescent="0.25"/>
    <row r="443" ht="14.25" customHeight="1" spans="1:16" x14ac:dyDescent="0.25"/>
    <row r="444" ht="14.25" customHeight="1" spans="1:16" x14ac:dyDescent="0.25"/>
    <row r="445" ht="14.25" customHeight="1" spans="1:16" x14ac:dyDescent="0.25"/>
    <row r="446" ht="14.25" customHeight="1" spans="1:16" x14ac:dyDescent="0.25"/>
    <row r="447" ht="14.25" customHeight="1" spans="1:16" x14ac:dyDescent="0.25"/>
    <row r="448" ht="14.25" customHeight="1" spans="1:16" x14ac:dyDescent="0.25"/>
    <row r="449" ht="14.25" customHeight="1" spans="1:16" x14ac:dyDescent="0.25"/>
    <row r="450" ht="14.25" customHeight="1" spans="1:16" x14ac:dyDescent="0.25"/>
    <row r="451" ht="14.25" customHeight="1" spans="1:16" x14ac:dyDescent="0.25"/>
    <row r="452" ht="14.25" customHeight="1" spans="1:16" x14ac:dyDescent="0.25"/>
    <row r="453" ht="14.25" customHeight="1" spans="1:16" x14ac:dyDescent="0.25"/>
    <row r="454" ht="14.25" customHeight="1" spans="1:16" x14ac:dyDescent="0.25"/>
    <row r="455" ht="14.25" customHeight="1" spans="1:16" x14ac:dyDescent="0.25"/>
    <row r="456" ht="14.25" customHeight="1" spans="1:16" x14ac:dyDescent="0.25"/>
    <row r="457" ht="14.25" customHeight="1" spans="1:16" x14ac:dyDescent="0.25"/>
    <row r="458" ht="14.25" customHeight="1" spans="1:16" x14ac:dyDescent="0.25"/>
    <row r="459" ht="14.25" customHeight="1" spans="1:16" x14ac:dyDescent="0.25"/>
    <row r="460" ht="14.25" customHeight="1" spans="1:16" x14ac:dyDescent="0.25"/>
    <row r="461" ht="14.25" customHeight="1" spans="1:16" x14ac:dyDescent="0.25"/>
    <row r="462" ht="14.25" customHeight="1" spans="1:16" x14ac:dyDescent="0.25"/>
    <row r="463" ht="14.25" customHeight="1" spans="1:16" x14ac:dyDescent="0.25"/>
    <row r="464" ht="14.25" customHeight="1" spans="1:16" x14ac:dyDescent="0.25"/>
    <row r="465" ht="14.25" customHeight="1" spans="1:16" x14ac:dyDescent="0.25"/>
    <row r="466" ht="14.25" customHeight="1" spans="1:16" x14ac:dyDescent="0.25"/>
    <row r="467" ht="14.25" customHeight="1" spans="1:16" x14ac:dyDescent="0.25"/>
    <row r="468" ht="14.25" customHeight="1" spans="1:16" x14ac:dyDescent="0.25"/>
    <row r="469" ht="14.25" customHeight="1" spans="1:16" x14ac:dyDescent="0.25"/>
    <row r="470" ht="14.25" customHeight="1" spans="1:16" x14ac:dyDescent="0.25"/>
    <row r="471" ht="14.25" customHeight="1" spans="1:16" x14ac:dyDescent="0.25"/>
    <row r="472" ht="14.25" customHeight="1" spans="1:16" x14ac:dyDescent="0.25"/>
    <row r="473" ht="14.25" customHeight="1" spans="1:16" x14ac:dyDescent="0.25"/>
    <row r="474" ht="14.25" customHeight="1" spans="1:16" x14ac:dyDescent="0.25"/>
    <row r="475" ht="14.25" customHeight="1" spans="1:16" x14ac:dyDescent="0.25"/>
    <row r="476" ht="14.25" customHeight="1" spans="1:16" x14ac:dyDescent="0.25"/>
    <row r="477" ht="14.25" customHeight="1" spans="1:16" x14ac:dyDescent="0.25"/>
    <row r="478" ht="14.25" customHeight="1" spans="1:16" x14ac:dyDescent="0.25"/>
    <row r="479" ht="14.25" customHeight="1" spans="1:16" x14ac:dyDescent="0.25"/>
    <row r="480" ht="14.25" customHeight="1" spans="1:16" x14ac:dyDescent="0.25"/>
    <row r="481" ht="14.25" customHeight="1" spans="1:16" x14ac:dyDescent="0.25"/>
    <row r="482" ht="14.25" customHeight="1" spans="1:16" x14ac:dyDescent="0.25"/>
    <row r="483" ht="14.25" customHeight="1" spans="1:16" x14ac:dyDescent="0.25"/>
    <row r="484" ht="14.25" customHeight="1" spans="1:16" x14ac:dyDescent="0.25"/>
    <row r="485" ht="14.25" customHeight="1" spans="1:16" x14ac:dyDescent="0.25"/>
    <row r="486" ht="14.25" customHeight="1" spans="1:16" x14ac:dyDescent="0.25"/>
    <row r="487" ht="14.25" customHeight="1" spans="1:16" x14ac:dyDescent="0.25"/>
    <row r="488" ht="14.25" customHeight="1" spans="1:16" x14ac:dyDescent="0.25"/>
    <row r="489" ht="14.25" customHeight="1" spans="1:16" x14ac:dyDescent="0.25"/>
    <row r="490" ht="14.25" customHeight="1" spans="1:16" x14ac:dyDescent="0.25"/>
    <row r="491" ht="14.25" customHeight="1" spans="1:16" x14ac:dyDescent="0.25"/>
    <row r="492" ht="14.25" customHeight="1" spans="1:16" x14ac:dyDescent="0.25"/>
    <row r="493" ht="14.25" customHeight="1" spans="1:16" x14ac:dyDescent="0.25"/>
    <row r="494" ht="14.25" customHeight="1" spans="1:16" x14ac:dyDescent="0.25"/>
    <row r="495" ht="14.25" customHeight="1" spans="1:16" x14ac:dyDescent="0.25"/>
    <row r="496" ht="14.25" customHeight="1" spans="1:16" x14ac:dyDescent="0.25"/>
    <row r="497" ht="14.25" customHeight="1" spans="1:16" x14ac:dyDescent="0.25"/>
    <row r="498" ht="14.25" customHeight="1" spans="1:16" x14ac:dyDescent="0.25"/>
    <row r="499" ht="14.25" customHeight="1" spans="1:16" x14ac:dyDescent="0.25"/>
    <row r="500" ht="14.25" customHeight="1" spans="1:16" x14ac:dyDescent="0.25"/>
    <row r="501" ht="14.25" customHeight="1" spans="1:16" x14ac:dyDescent="0.25"/>
    <row r="502" ht="14.25" customHeight="1" spans="1:16" x14ac:dyDescent="0.25"/>
    <row r="503" ht="14.25" customHeight="1" spans="1:16" x14ac:dyDescent="0.25"/>
    <row r="504" ht="14.25" customHeight="1" spans="1:16" x14ac:dyDescent="0.25"/>
    <row r="505" ht="14.25" customHeight="1" spans="1:16" x14ac:dyDescent="0.25"/>
    <row r="506" ht="14.25" customHeight="1" spans="1:16" x14ac:dyDescent="0.25"/>
    <row r="507" ht="14.25" customHeight="1" spans="1:16" x14ac:dyDescent="0.25"/>
    <row r="508" ht="14.25" customHeight="1" spans="1:16" x14ac:dyDescent="0.25"/>
    <row r="509" ht="14.25" customHeight="1" spans="1:16" x14ac:dyDescent="0.25"/>
    <row r="510" ht="14.25" customHeight="1" spans="1:16" x14ac:dyDescent="0.25"/>
    <row r="511" ht="14.25" customHeight="1" spans="1:16" x14ac:dyDescent="0.25"/>
    <row r="512" ht="14.25" customHeight="1" spans="1:16" x14ac:dyDescent="0.25"/>
    <row r="513" ht="14.25" customHeight="1" spans="1:16" x14ac:dyDescent="0.25"/>
    <row r="514" ht="14.25" customHeight="1" spans="1:16" x14ac:dyDescent="0.25"/>
    <row r="515" ht="14.25" customHeight="1" spans="1:16" x14ac:dyDescent="0.25"/>
    <row r="516" ht="14.25" customHeight="1" spans="1:16" x14ac:dyDescent="0.25"/>
    <row r="517" ht="14.25" customHeight="1" spans="1:16" x14ac:dyDescent="0.25"/>
    <row r="518" ht="14.25" customHeight="1" spans="1:16" x14ac:dyDescent="0.25"/>
    <row r="519" ht="14.25" customHeight="1" spans="1:16" x14ac:dyDescent="0.25"/>
    <row r="520" ht="14.25" customHeight="1" spans="1:16" x14ac:dyDescent="0.25"/>
    <row r="521" ht="14.25" customHeight="1" spans="1:16" x14ac:dyDescent="0.25"/>
    <row r="522" ht="14.25" customHeight="1" spans="1:16" x14ac:dyDescent="0.25"/>
    <row r="523" ht="14.25" customHeight="1" spans="1:16" x14ac:dyDescent="0.25"/>
    <row r="524" ht="14.25" customHeight="1" spans="1:16" x14ac:dyDescent="0.25"/>
    <row r="525" ht="14.25" customHeight="1" spans="1:16" x14ac:dyDescent="0.25"/>
    <row r="526" ht="14.25" customHeight="1" spans="1:16" x14ac:dyDescent="0.25"/>
    <row r="527" ht="14.25" customHeight="1" spans="1:16" x14ac:dyDescent="0.25"/>
    <row r="528" ht="14.25" customHeight="1" spans="1:16" x14ac:dyDescent="0.25"/>
    <row r="529" ht="14.25" customHeight="1" spans="1:16" x14ac:dyDescent="0.25"/>
    <row r="530" ht="14.25" customHeight="1" spans="1:16" x14ac:dyDescent="0.25"/>
    <row r="531" ht="14.25" customHeight="1" spans="1:16" x14ac:dyDescent="0.25"/>
    <row r="532" ht="14.25" customHeight="1" spans="1:16" x14ac:dyDescent="0.25"/>
    <row r="533" ht="14.25" customHeight="1" spans="1:16" x14ac:dyDescent="0.25"/>
    <row r="534" ht="14.25" customHeight="1" spans="1:16" x14ac:dyDescent="0.25"/>
    <row r="535" ht="14.25" customHeight="1" spans="1:16" x14ac:dyDescent="0.25"/>
    <row r="536" ht="14.25" customHeight="1" spans="1:16" x14ac:dyDescent="0.25"/>
    <row r="537" ht="14.25" customHeight="1" spans="1:16" x14ac:dyDescent="0.25"/>
    <row r="538" ht="14.25" customHeight="1" spans="1:16" x14ac:dyDescent="0.25"/>
    <row r="539" ht="14.25" customHeight="1" spans="1:16" x14ac:dyDescent="0.25"/>
    <row r="540" ht="14.25" customHeight="1" spans="1:16" x14ac:dyDescent="0.25"/>
    <row r="541" ht="14.25" customHeight="1" spans="1:16" x14ac:dyDescent="0.25"/>
    <row r="542" ht="14.25" customHeight="1" spans="1:16" x14ac:dyDescent="0.25"/>
    <row r="543" ht="14.25" customHeight="1" spans="1:16" x14ac:dyDescent="0.25"/>
    <row r="544" ht="14.25" customHeight="1" spans="1:16" x14ac:dyDescent="0.25"/>
    <row r="545" ht="14.25" customHeight="1" spans="1:16" x14ac:dyDescent="0.25"/>
    <row r="546" ht="14.25" customHeight="1" spans="1:16" x14ac:dyDescent="0.25"/>
    <row r="547" ht="14.25" customHeight="1" spans="1:16" x14ac:dyDescent="0.25"/>
    <row r="548" ht="14.25" customHeight="1" spans="1:16" x14ac:dyDescent="0.25"/>
    <row r="549" ht="14.25" customHeight="1" spans="1:16" x14ac:dyDescent="0.25"/>
    <row r="550" ht="14.25" customHeight="1" spans="1:16" x14ac:dyDescent="0.25"/>
    <row r="551" ht="14.25" customHeight="1" spans="1:16" x14ac:dyDescent="0.25"/>
    <row r="552" ht="14.25" customHeight="1" spans="1:16" x14ac:dyDescent="0.25"/>
    <row r="553" ht="14.25" customHeight="1" spans="1:16" x14ac:dyDescent="0.25"/>
    <row r="554" ht="14.25" customHeight="1" spans="1:16" x14ac:dyDescent="0.25"/>
    <row r="555" ht="14.25" customHeight="1" spans="1:16" x14ac:dyDescent="0.25"/>
    <row r="556" ht="14.25" customHeight="1" spans="1:16" x14ac:dyDescent="0.25"/>
    <row r="557" ht="14.25" customHeight="1" spans="1:16" x14ac:dyDescent="0.25"/>
    <row r="558" ht="14.25" customHeight="1" spans="1:16" x14ac:dyDescent="0.25"/>
    <row r="559" ht="14.25" customHeight="1" spans="1:16" x14ac:dyDescent="0.25"/>
    <row r="560" ht="14.25" customHeight="1" spans="1:16" x14ac:dyDescent="0.25"/>
    <row r="561" ht="14.25" customHeight="1" spans="1:16" x14ac:dyDescent="0.25"/>
    <row r="562" ht="14.25" customHeight="1" spans="1:16" x14ac:dyDescent="0.25"/>
    <row r="563" ht="14.25" customHeight="1" spans="1:16" x14ac:dyDescent="0.25"/>
    <row r="564" ht="14.25" customHeight="1" spans="1:16" x14ac:dyDescent="0.25"/>
    <row r="565" ht="14.25" customHeight="1" spans="1:16" x14ac:dyDescent="0.25"/>
    <row r="566" ht="14.25" customHeight="1" spans="1:16" x14ac:dyDescent="0.25"/>
    <row r="567" ht="14.25" customHeight="1" spans="1:16" x14ac:dyDescent="0.25"/>
    <row r="568" ht="14.25" customHeight="1" spans="1:16" x14ac:dyDescent="0.25"/>
    <row r="569" ht="14.25" customHeight="1" spans="1:16" x14ac:dyDescent="0.25"/>
    <row r="570" ht="14.25" customHeight="1" spans="1:16" x14ac:dyDescent="0.25"/>
    <row r="571" ht="14.25" customHeight="1" spans="1:16" x14ac:dyDescent="0.25"/>
    <row r="572" ht="14.25" customHeight="1" spans="1:16" x14ac:dyDescent="0.25"/>
    <row r="573" ht="14.25" customHeight="1" spans="1:16" x14ac:dyDescent="0.25"/>
    <row r="574" ht="14.25" customHeight="1" spans="1:16" x14ac:dyDescent="0.25"/>
    <row r="575" ht="14.25" customHeight="1" spans="1:16" x14ac:dyDescent="0.25"/>
    <row r="576" ht="14.25" customHeight="1" spans="1:16" x14ac:dyDescent="0.25"/>
    <row r="577" ht="14.25" customHeight="1" spans="1:16" x14ac:dyDescent="0.25"/>
    <row r="578" ht="14.25" customHeight="1" spans="1:16" x14ac:dyDescent="0.25"/>
    <row r="579" ht="14.25" customHeight="1" spans="1:16" x14ac:dyDescent="0.25"/>
    <row r="580" ht="14.25" customHeight="1" spans="1:16" x14ac:dyDescent="0.25"/>
    <row r="581" ht="14.25" customHeight="1" spans="1:16" x14ac:dyDescent="0.25"/>
    <row r="582" ht="14.25" customHeight="1" spans="1:16" x14ac:dyDescent="0.25"/>
    <row r="583" ht="14.25" customHeight="1" spans="1:16" x14ac:dyDescent="0.25"/>
    <row r="584" ht="14.25" customHeight="1" spans="1:16" x14ac:dyDescent="0.25"/>
    <row r="585" ht="14.25" customHeight="1" spans="1:16" x14ac:dyDescent="0.25"/>
    <row r="586" ht="14.25" customHeight="1" spans="1:16" x14ac:dyDescent="0.25"/>
    <row r="587" ht="14.25" customHeight="1" spans="1:16" x14ac:dyDescent="0.25"/>
    <row r="588" ht="14.25" customHeight="1" spans="1:16" x14ac:dyDescent="0.25"/>
    <row r="589" ht="14.25" customHeight="1" spans="1:16" x14ac:dyDescent="0.25"/>
    <row r="590" ht="14.25" customHeight="1" spans="1:16" x14ac:dyDescent="0.25"/>
    <row r="591" ht="14.25" customHeight="1" spans="1:16" x14ac:dyDescent="0.25"/>
    <row r="592" ht="14.25" customHeight="1" spans="1:16" x14ac:dyDescent="0.25"/>
    <row r="593" ht="14.25" customHeight="1" spans="1:16" x14ac:dyDescent="0.25"/>
    <row r="594" ht="14.25" customHeight="1" spans="1:16" x14ac:dyDescent="0.25"/>
    <row r="595" ht="14.25" customHeight="1" spans="1:16" x14ac:dyDescent="0.25"/>
    <row r="596" ht="14.25" customHeight="1" spans="1:16" x14ac:dyDescent="0.25"/>
    <row r="597" ht="14.25" customHeight="1" spans="1:16" x14ac:dyDescent="0.25"/>
    <row r="598" ht="14.25" customHeight="1" spans="1:16" x14ac:dyDescent="0.25"/>
    <row r="599" ht="14.25" customHeight="1" spans="1:16" x14ac:dyDescent="0.25"/>
    <row r="600" ht="14.25" customHeight="1" spans="1:16" x14ac:dyDescent="0.25"/>
    <row r="601" ht="14.25" customHeight="1" spans="1:16" x14ac:dyDescent="0.25"/>
    <row r="602" ht="14.25" customHeight="1" spans="1:16" x14ac:dyDescent="0.25"/>
    <row r="603" ht="14.25" customHeight="1" spans="1:16" x14ac:dyDescent="0.25"/>
    <row r="604" ht="14.25" customHeight="1" spans="1:16" x14ac:dyDescent="0.25"/>
    <row r="605" ht="14.25" customHeight="1" spans="1:16" x14ac:dyDescent="0.25"/>
    <row r="606" ht="14.25" customHeight="1" spans="1:16" x14ac:dyDescent="0.25"/>
    <row r="607" ht="14.25" customHeight="1" spans="1:16" x14ac:dyDescent="0.25"/>
    <row r="608" ht="14.25" customHeight="1" spans="1:16" x14ac:dyDescent="0.25"/>
    <row r="609" ht="14.25" customHeight="1" spans="1:16" x14ac:dyDescent="0.25"/>
    <row r="610" ht="14.25" customHeight="1" spans="1:16" x14ac:dyDescent="0.25"/>
    <row r="611" ht="14.25" customHeight="1" spans="1:16" x14ac:dyDescent="0.25"/>
    <row r="612" ht="14.25" customHeight="1" spans="1:16" x14ac:dyDescent="0.25"/>
    <row r="613" ht="14.25" customHeight="1" spans="1:16" x14ac:dyDescent="0.25"/>
    <row r="614" ht="14.25" customHeight="1" spans="1:16" x14ac:dyDescent="0.25"/>
    <row r="615" ht="14.25" customHeight="1" spans="1:16" x14ac:dyDescent="0.25"/>
    <row r="616" ht="14.25" customHeight="1" spans="1:16" x14ac:dyDescent="0.25"/>
    <row r="617" ht="14.25" customHeight="1" spans="1:16" x14ac:dyDescent="0.25"/>
    <row r="618" ht="14.25" customHeight="1" spans="1:16" x14ac:dyDescent="0.25"/>
    <row r="619" ht="14.25" customHeight="1" spans="1:16" x14ac:dyDescent="0.25"/>
    <row r="620" ht="14.25" customHeight="1" spans="1:16" x14ac:dyDescent="0.25"/>
    <row r="621" ht="14.25" customHeight="1" spans="1:16" x14ac:dyDescent="0.25"/>
    <row r="622" ht="14.25" customHeight="1" spans="1:16" x14ac:dyDescent="0.25"/>
    <row r="623" ht="14.25" customHeight="1" spans="1:16" x14ac:dyDescent="0.25"/>
    <row r="624" ht="14.25" customHeight="1" spans="1:16" x14ac:dyDescent="0.25"/>
    <row r="625" ht="14.25" customHeight="1" spans="1:16" x14ac:dyDescent="0.25"/>
    <row r="626" ht="14.25" customHeight="1" spans="1:16" x14ac:dyDescent="0.25"/>
    <row r="627" ht="14.25" customHeight="1" spans="1:16" x14ac:dyDescent="0.25"/>
    <row r="628" ht="14.25" customHeight="1" spans="1:16" x14ac:dyDescent="0.25"/>
    <row r="629" ht="14.25" customHeight="1" spans="1:16" x14ac:dyDescent="0.25"/>
    <row r="630" ht="14.25" customHeight="1" spans="1:16" x14ac:dyDescent="0.25"/>
    <row r="631" ht="14.25" customHeight="1" spans="1:16" x14ac:dyDescent="0.25"/>
    <row r="632" ht="14.25" customHeight="1" spans="1:16" x14ac:dyDescent="0.25"/>
    <row r="633" ht="14.25" customHeight="1" spans="1:16" x14ac:dyDescent="0.25"/>
    <row r="634" ht="14.25" customHeight="1" spans="1:16" x14ac:dyDescent="0.25"/>
    <row r="635" ht="14.25" customHeight="1" spans="1:16" x14ac:dyDescent="0.25"/>
    <row r="636" ht="14.25" customHeight="1" spans="1:16" x14ac:dyDescent="0.25"/>
    <row r="637" ht="14.25" customHeight="1" spans="1:16" x14ac:dyDescent="0.25"/>
    <row r="638" ht="14.25" customHeight="1" spans="1:16" x14ac:dyDescent="0.25"/>
    <row r="639" ht="14.25" customHeight="1" spans="1:16" x14ac:dyDescent="0.25"/>
    <row r="640" ht="14.25" customHeight="1" spans="1:16" x14ac:dyDescent="0.25"/>
    <row r="641" ht="14.25" customHeight="1" spans="1:16" x14ac:dyDescent="0.25"/>
    <row r="642" ht="14.25" customHeight="1" spans="1:16" x14ac:dyDescent="0.25"/>
    <row r="643" ht="14.25" customHeight="1" spans="1:16" x14ac:dyDescent="0.25"/>
    <row r="644" ht="14.25" customHeight="1" spans="1:16" x14ac:dyDescent="0.25"/>
    <row r="645" ht="14.25" customHeight="1" spans="1:16" x14ac:dyDescent="0.25"/>
    <row r="646" ht="14.25" customHeight="1" spans="1:16" x14ac:dyDescent="0.25"/>
    <row r="647" ht="14.25" customHeight="1" spans="1:16" x14ac:dyDescent="0.25"/>
    <row r="648" ht="14.25" customHeight="1" spans="1:16" x14ac:dyDescent="0.25"/>
    <row r="649" ht="14.25" customHeight="1" spans="1:16" x14ac:dyDescent="0.25"/>
    <row r="650" ht="14.25" customHeight="1" spans="1:16" x14ac:dyDescent="0.25"/>
    <row r="651" ht="14.25" customHeight="1" spans="1:16" x14ac:dyDescent="0.25"/>
    <row r="652" ht="14.25" customHeight="1" spans="1:16" x14ac:dyDescent="0.25"/>
    <row r="653" ht="14.25" customHeight="1" spans="1:16" x14ac:dyDescent="0.25"/>
    <row r="654" ht="14.25" customHeight="1" spans="1:16" x14ac:dyDescent="0.25"/>
    <row r="655" ht="14.25" customHeight="1" spans="1:16" x14ac:dyDescent="0.25"/>
    <row r="656" ht="14.25" customHeight="1" spans="1:16" x14ac:dyDescent="0.25"/>
    <row r="657" ht="14.25" customHeight="1" spans="1:16" x14ac:dyDescent="0.25"/>
    <row r="658" ht="14.25" customHeight="1" spans="1:16" x14ac:dyDescent="0.25"/>
    <row r="659" ht="14.25" customHeight="1" spans="1:16" x14ac:dyDescent="0.25"/>
    <row r="660" ht="14.25" customHeight="1" spans="1:16" x14ac:dyDescent="0.25"/>
    <row r="661" ht="14.25" customHeight="1" spans="1:16" x14ac:dyDescent="0.25"/>
    <row r="662" ht="14.25" customHeight="1" spans="1:16" x14ac:dyDescent="0.25"/>
    <row r="663" ht="14.25" customHeight="1" spans="1:16" x14ac:dyDescent="0.25"/>
    <row r="664" ht="14.25" customHeight="1" spans="1:16" x14ac:dyDescent="0.25"/>
    <row r="665" ht="14.25" customHeight="1" spans="1:16" x14ac:dyDescent="0.25"/>
    <row r="666" ht="14.25" customHeight="1" spans="1:16" x14ac:dyDescent="0.25"/>
    <row r="667" ht="14.25" customHeight="1" spans="1:16" x14ac:dyDescent="0.25"/>
    <row r="668" ht="14.25" customHeight="1" spans="1:16" x14ac:dyDescent="0.25"/>
    <row r="669" ht="14.25" customHeight="1" spans="1:16" x14ac:dyDescent="0.25"/>
    <row r="670" ht="14.25" customHeight="1" spans="1:16" x14ac:dyDescent="0.25"/>
    <row r="671" ht="14.25" customHeight="1" spans="1:16" x14ac:dyDescent="0.25"/>
    <row r="672" ht="14.25" customHeight="1" spans="1:16" x14ac:dyDescent="0.25"/>
    <row r="673" ht="14.25" customHeight="1" spans="1:16" x14ac:dyDescent="0.25"/>
    <row r="674" ht="14.25" customHeight="1" spans="1:16" x14ac:dyDescent="0.25"/>
    <row r="675" ht="14.25" customHeight="1" spans="1:16" x14ac:dyDescent="0.25"/>
    <row r="676" ht="14.25" customHeight="1" spans="1:16" x14ac:dyDescent="0.25"/>
    <row r="677" ht="14.25" customHeight="1" spans="1:16" x14ac:dyDescent="0.25"/>
    <row r="678" ht="14.25" customHeight="1" spans="1:16" x14ac:dyDescent="0.25"/>
    <row r="679" ht="14.25" customHeight="1" spans="1:16" x14ac:dyDescent="0.25"/>
    <row r="680" ht="14.25" customHeight="1" spans="1:16" x14ac:dyDescent="0.25"/>
    <row r="681" ht="14.25" customHeight="1" spans="1:16" x14ac:dyDescent="0.25"/>
    <row r="682" ht="14.25" customHeight="1" spans="1:16" x14ac:dyDescent="0.25"/>
    <row r="683" ht="14.25" customHeight="1" spans="1:16" x14ac:dyDescent="0.25"/>
    <row r="684" ht="14.25" customHeight="1" spans="1:16" x14ac:dyDescent="0.25"/>
    <row r="685" ht="14.25" customHeight="1" spans="1:16" x14ac:dyDescent="0.25"/>
    <row r="686" ht="14.25" customHeight="1" spans="1:16" x14ac:dyDescent="0.25"/>
    <row r="687" ht="14.25" customHeight="1" spans="1:16" x14ac:dyDescent="0.25"/>
    <row r="688" ht="14.25" customHeight="1" spans="1:16" x14ac:dyDescent="0.25"/>
    <row r="689" ht="14.25" customHeight="1" spans="1:16" x14ac:dyDescent="0.25"/>
    <row r="690" ht="14.25" customHeight="1" spans="1:16" x14ac:dyDescent="0.25"/>
    <row r="691" ht="14.25" customHeight="1" spans="1:16" x14ac:dyDescent="0.25"/>
    <row r="692" ht="14.25" customHeight="1" spans="1:16" x14ac:dyDescent="0.25"/>
    <row r="693" ht="14.25" customHeight="1" spans="1:16" x14ac:dyDescent="0.25"/>
    <row r="694" ht="14.25" customHeight="1" spans="1:16" x14ac:dyDescent="0.25"/>
    <row r="695" ht="14.25" customHeight="1" spans="1:16" x14ac:dyDescent="0.25"/>
    <row r="696" ht="14.25" customHeight="1" spans="1:16" x14ac:dyDescent="0.25"/>
    <row r="697" ht="14.25" customHeight="1" spans="1:16" x14ac:dyDescent="0.25"/>
    <row r="698" ht="14.25" customHeight="1" spans="1:16" x14ac:dyDescent="0.25"/>
    <row r="699" ht="14.25" customHeight="1" spans="1:16" x14ac:dyDescent="0.25"/>
    <row r="700" ht="14.25" customHeight="1" spans="1:16" x14ac:dyDescent="0.25"/>
    <row r="701" ht="14.25" customHeight="1" spans="1:16" x14ac:dyDescent="0.25"/>
    <row r="702" ht="14.25" customHeight="1" spans="1:16" x14ac:dyDescent="0.25"/>
    <row r="703" ht="14.25" customHeight="1" spans="1:16" x14ac:dyDescent="0.25"/>
    <row r="704" ht="14.25" customHeight="1" spans="1:16" x14ac:dyDescent="0.25"/>
    <row r="705" ht="14.25" customHeight="1" spans="1:16" x14ac:dyDescent="0.25"/>
    <row r="706" ht="14.25" customHeight="1" spans="1:16" x14ac:dyDescent="0.25"/>
    <row r="707" ht="14.25" customHeight="1" spans="1:16" x14ac:dyDescent="0.25"/>
    <row r="708" ht="14.25" customHeight="1" spans="1:16" x14ac:dyDescent="0.25"/>
    <row r="709" ht="14.25" customHeight="1" spans="1:16" x14ac:dyDescent="0.25"/>
    <row r="710" ht="14.25" customHeight="1" spans="1:16" x14ac:dyDescent="0.25"/>
    <row r="711" ht="14.25" customHeight="1" spans="1:16" x14ac:dyDescent="0.25"/>
    <row r="712" ht="14.25" customHeight="1" spans="1:16" x14ac:dyDescent="0.25"/>
    <row r="713" ht="14.25" customHeight="1" spans="1:16" x14ac:dyDescent="0.25"/>
    <row r="714" ht="14.25" customHeight="1" spans="1:16" x14ac:dyDescent="0.25"/>
    <row r="715" ht="14.25" customHeight="1" spans="1:16" x14ac:dyDescent="0.25"/>
    <row r="716" ht="14.25" customHeight="1" spans="1:16" x14ac:dyDescent="0.25"/>
    <row r="717" ht="14.25" customHeight="1" spans="1:16" x14ac:dyDescent="0.25"/>
    <row r="718" ht="14.25" customHeight="1" spans="1:16" x14ac:dyDescent="0.25"/>
    <row r="719" ht="14.25" customHeight="1" spans="1:16" x14ac:dyDescent="0.25"/>
    <row r="720" ht="14.25" customHeight="1" spans="1:16" x14ac:dyDescent="0.25"/>
    <row r="721" ht="14.25" customHeight="1" spans="1:16" x14ac:dyDescent="0.25"/>
    <row r="722" ht="14.25" customHeight="1" spans="1:16" x14ac:dyDescent="0.25"/>
    <row r="723" ht="14.25" customHeight="1" spans="1:16" x14ac:dyDescent="0.25"/>
    <row r="724" ht="14.25" customHeight="1" spans="1:16" x14ac:dyDescent="0.25"/>
    <row r="725" ht="14.25" customHeight="1" spans="1:16" x14ac:dyDescent="0.25"/>
    <row r="726" ht="14.25" customHeight="1" spans="1:16" x14ac:dyDescent="0.25"/>
    <row r="727" ht="14.25" customHeight="1" spans="1:16" x14ac:dyDescent="0.25"/>
    <row r="728" ht="14.25" customHeight="1" spans="1:16" x14ac:dyDescent="0.25"/>
    <row r="729" ht="14.25" customHeight="1" spans="1:16" x14ac:dyDescent="0.25"/>
    <row r="730" ht="14.25" customHeight="1" spans="1:16" x14ac:dyDescent="0.25"/>
    <row r="731" ht="14.25" customHeight="1" spans="1:16" x14ac:dyDescent="0.25"/>
    <row r="732" ht="14.25" customHeight="1" spans="1:16" x14ac:dyDescent="0.25"/>
    <row r="733" ht="14.25" customHeight="1" spans="1:16" x14ac:dyDescent="0.25"/>
    <row r="734" ht="14.25" customHeight="1" spans="1:16" x14ac:dyDescent="0.25"/>
    <row r="735" ht="14.25" customHeight="1" spans="1:16" x14ac:dyDescent="0.25"/>
    <row r="736" ht="14.25" customHeight="1" spans="1:16" x14ac:dyDescent="0.25"/>
    <row r="737" ht="14.25" customHeight="1" spans="1:16" x14ac:dyDescent="0.25"/>
    <row r="738" ht="14.25" customHeight="1" spans="1:16" x14ac:dyDescent="0.25"/>
    <row r="739" ht="14.25" customHeight="1" spans="1:16" x14ac:dyDescent="0.25"/>
    <row r="740" ht="14.25" customHeight="1" spans="1:16" x14ac:dyDescent="0.25"/>
    <row r="741" ht="14.25" customHeight="1" spans="1:16" x14ac:dyDescent="0.25"/>
    <row r="742" ht="14.25" customHeight="1" spans="1:16" x14ac:dyDescent="0.25"/>
    <row r="743" ht="14.25" customHeight="1" spans="1:16" x14ac:dyDescent="0.25"/>
    <row r="744" ht="14.25" customHeight="1" spans="1:16" x14ac:dyDescent="0.25"/>
    <row r="745" ht="14.25" customHeight="1" spans="1:16" x14ac:dyDescent="0.25"/>
    <row r="746" ht="14.25" customHeight="1" spans="1:16" x14ac:dyDescent="0.25"/>
    <row r="747" ht="14.25" customHeight="1" spans="1:16" x14ac:dyDescent="0.25"/>
    <row r="748" ht="14.25" customHeight="1" spans="1:16" x14ac:dyDescent="0.25"/>
    <row r="749" ht="14.25" customHeight="1" spans="1:16" x14ac:dyDescent="0.25"/>
    <row r="750" ht="14.25" customHeight="1" spans="1:16" x14ac:dyDescent="0.25"/>
    <row r="751" ht="14.25" customHeight="1" spans="1:16" x14ac:dyDescent="0.25"/>
    <row r="752" ht="14.25" customHeight="1" spans="1:16" x14ac:dyDescent="0.25"/>
    <row r="753" ht="14.25" customHeight="1" spans="1:16" x14ac:dyDescent="0.25"/>
    <row r="754" ht="14.25" customHeight="1" spans="1:16" x14ac:dyDescent="0.25"/>
    <row r="755" ht="14.25" customHeight="1" spans="1:16" x14ac:dyDescent="0.25"/>
    <row r="756" ht="14.25" customHeight="1" spans="1:16" x14ac:dyDescent="0.25"/>
    <row r="757" ht="14.25" customHeight="1" spans="1:16" x14ac:dyDescent="0.25"/>
    <row r="758" ht="14.25" customHeight="1" spans="1:16" x14ac:dyDescent="0.25"/>
    <row r="759" ht="14.25" customHeight="1" spans="1:16" x14ac:dyDescent="0.25"/>
    <row r="760" ht="14.25" customHeight="1" spans="1:16" x14ac:dyDescent="0.25"/>
    <row r="761" ht="14.25" customHeight="1" spans="1:16" x14ac:dyDescent="0.25"/>
    <row r="762" ht="14.25" customHeight="1" spans="1:16" x14ac:dyDescent="0.25"/>
    <row r="763" ht="14.25" customHeight="1" spans="1:16" x14ac:dyDescent="0.25"/>
    <row r="764" ht="14.25" customHeight="1" spans="1:16" x14ac:dyDescent="0.25"/>
    <row r="765" ht="14.25" customHeight="1" spans="1:16" x14ac:dyDescent="0.25"/>
    <row r="766" ht="14.25" customHeight="1" spans="1:16" x14ac:dyDescent="0.25"/>
    <row r="767" ht="14.25" customHeight="1" spans="1:16" x14ac:dyDescent="0.25"/>
    <row r="768" ht="14.25" customHeight="1" spans="1:16" x14ac:dyDescent="0.25"/>
    <row r="769" ht="14.25" customHeight="1" spans="1:16" x14ac:dyDescent="0.25"/>
    <row r="770" ht="14.25" customHeight="1" spans="1:16" x14ac:dyDescent="0.25"/>
    <row r="771" ht="14.25" customHeight="1" spans="1:16" x14ac:dyDescent="0.25"/>
    <row r="772" ht="14.25" customHeight="1" spans="1:16" x14ac:dyDescent="0.25"/>
    <row r="773" ht="14.25" customHeight="1" spans="1:16" x14ac:dyDescent="0.25"/>
    <row r="774" ht="14.25" customHeight="1" spans="1:16" x14ac:dyDescent="0.25"/>
    <row r="775" ht="14.25" customHeight="1" spans="1:16" x14ac:dyDescent="0.25"/>
    <row r="776" ht="14.25" customHeight="1" spans="1:16" x14ac:dyDescent="0.25"/>
    <row r="777" ht="14.25" customHeight="1" spans="1:16" x14ac:dyDescent="0.25"/>
    <row r="778" ht="14.25" customHeight="1" spans="1:16" x14ac:dyDescent="0.25"/>
    <row r="779" ht="14.25" customHeight="1" spans="1:16" x14ac:dyDescent="0.25"/>
    <row r="780" ht="14.25" customHeight="1" spans="1:16" x14ac:dyDescent="0.25"/>
    <row r="781" ht="14.25" customHeight="1" spans="1:16" x14ac:dyDescent="0.25"/>
    <row r="782" ht="14.25" customHeight="1" spans="1:16" x14ac:dyDescent="0.25"/>
    <row r="783" ht="14.25" customHeight="1" spans="1:16" x14ac:dyDescent="0.25"/>
    <row r="784" ht="14.25" customHeight="1" spans="1:16" x14ac:dyDescent="0.25"/>
    <row r="785" ht="14.25" customHeight="1" spans="1:16" x14ac:dyDescent="0.25"/>
    <row r="786" ht="14.25" customHeight="1" spans="1:16" x14ac:dyDescent="0.25"/>
    <row r="787" ht="14.25" customHeight="1" spans="1:16" x14ac:dyDescent="0.25"/>
    <row r="788" ht="14.25" customHeight="1" spans="1:16" x14ac:dyDescent="0.25"/>
    <row r="789" ht="14.25" customHeight="1" spans="1:16" x14ac:dyDescent="0.25"/>
    <row r="790" ht="14.25" customHeight="1" spans="1:16" x14ac:dyDescent="0.25"/>
    <row r="791" ht="14.25" customHeight="1" spans="1:16" x14ac:dyDescent="0.25"/>
    <row r="792" ht="14.25" customHeight="1" spans="1:16" x14ac:dyDescent="0.25"/>
    <row r="793" ht="14.25" customHeight="1" spans="1:16" x14ac:dyDescent="0.25"/>
    <row r="794" ht="14.25" customHeight="1" spans="1:16" x14ac:dyDescent="0.25"/>
    <row r="795" ht="14.25" customHeight="1" spans="1:16" x14ac:dyDescent="0.25"/>
    <row r="796" ht="14.25" customHeight="1" spans="1:16" x14ac:dyDescent="0.25"/>
    <row r="797" ht="14.25" customHeight="1" spans="1:16" x14ac:dyDescent="0.25"/>
    <row r="798" ht="14.25" customHeight="1" spans="1:16" x14ac:dyDescent="0.25"/>
    <row r="799" ht="14.25" customHeight="1" spans="1:16" x14ac:dyDescent="0.25"/>
    <row r="800" ht="14.25" customHeight="1" spans="1:16" x14ac:dyDescent="0.25"/>
    <row r="801" ht="14.25" customHeight="1" spans="1:16" x14ac:dyDescent="0.25"/>
    <row r="802" ht="14.25" customHeight="1" spans="1:16" x14ac:dyDescent="0.25"/>
    <row r="803" ht="14.25" customHeight="1" spans="1:16" x14ac:dyDescent="0.25"/>
    <row r="804" ht="14.25" customHeight="1" spans="1:16" x14ac:dyDescent="0.25"/>
    <row r="805" ht="14.25" customHeight="1" spans="1:16" x14ac:dyDescent="0.25"/>
    <row r="806" ht="14.25" customHeight="1" spans="1:16" x14ac:dyDescent="0.25"/>
    <row r="807" ht="14.25" customHeight="1" spans="1:16" x14ac:dyDescent="0.25"/>
    <row r="808" ht="14.25" customHeight="1" spans="1:16" x14ac:dyDescent="0.25"/>
    <row r="809" ht="14.25" customHeight="1" spans="1:16" x14ac:dyDescent="0.25"/>
    <row r="810" ht="14.25" customHeight="1" spans="1:16" x14ac:dyDescent="0.25"/>
    <row r="811" ht="14.25" customHeight="1" spans="1:16" x14ac:dyDescent="0.25"/>
    <row r="812" ht="14.25" customHeight="1" spans="1:16" x14ac:dyDescent="0.25"/>
    <row r="813" ht="14.25" customHeight="1" spans="1:16" x14ac:dyDescent="0.25"/>
    <row r="814" ht="14.25" customHeight="1" spans="1:16" x14ac:dyDescent="0.25"/>
    <row r="815" ht="14.25" customHeight="1" spans="1:16" x14ac:dyDescent="0.25"/>
    <row r="816" ht="14.25" customHeight="1" spans="1:16" x14ac:dyDescent="0.25"/>
    <row r="817" ht="14.25" customHeight="1" spans="1:16" x14ac:dyDescent="0.25"/>
    <row r="818" ht="14.25" customHeight="1" spans="1:16" x14ac:dyDescent="0.25"/>
    <row r="819" ht="14.25" customHeight="1" spans="1:16" x14ac:dyDescent="0.25"/>
    <row r="820" ht="14.25" customHeight="1" spans="1:16" x14ac:dyDescent="0.25"/>
    <row r="821" ht="14.25" customHeight="1" spans="1:16" x14ac:dyDescent="0.25"/>
    <row r="822" ht="14.25" customHeight="1" spans="1:16" x14ac:dyDescent="0.25"/>
    <row r="823" ht="14.25" customHeight="1" spans="1:16" x14ac:dyDescent="0.25"/>
    <row r="824" ht="14.25" customHeight="1" spans="1:16" x14ac:dyDescent="0.25"/>
    <row r="825" ht="14.25" customHeight="1" spans="1:16" x14ac:dyDescent="0.25"/>
    <row r="826" ht="14.25" customHeight="1" spans="1:16" x14ac:dyDescent="0.25"/>
    <row r="827" ht="14.25" customHeight="1" spans="1:16" x14ac:dyDescent="0.25"/>
    <row r="828" ht="14.25" customHeight="1" spans="1:16" x14ac:dyDescent="0.25"/>
    <row r="829" ht="14.25" customHeight="1" spans="1:16" x14ac:dyDescent="0.25"/>
    <row r="830" ht="14.25" customHeight="1" spans="1:16" x14ac:dyDescent="0.25"/>
    <row r="831" ht="14.25" customHeight="1" spans="1:16" x14ac:dyDescent="0.25"/>
    <row r="832" ht="14.25" customHeight="1" spans="1:16" x14ac:dyDescent="0.25"/>
    <row r="833" ht="14.25" customHeight="1" spans="1:16" x14ac:dyDescent="0.25"/>
    <row r="834" ht="14.25" customHeight="1" spans="1:16" x14ac:dyDescent="0.25"/>
    <row r="835" ht="14.25" customHeight="1" spans="1:16" x14ac:dyDescent="0.25"/>
    <row r="836" ht="14.25" customHeight="1" spans="1:16" x14ac:dyDescent="0.25"/>
    <row r="837" ht="14.25" customHeight="1" spans="1:16" x14ac:dyDescent="0.25"/>
    <row r="838" ht="14.25" customHeight="1" spans="1:16" x14ac:dyDescent="0.25"/>
    <row r="839" ht="14.25" customHeight="1" spans="1:16" x14ac:dyDescent="0.25"/>
    <row r="840" ht="14.25" customHeight="1" spans="1:16" x14ac:dyDescent="0.25"/>
    <row r="841" ht="14.25" customHeight="1" spans="1:16" x14ac:dyDescent="0.25"/>
    <row r="842" ht="14.25" customHeight="1" spans="1:16" x14ac:dyDescent="0.25"/>
    <row r="843" ht="14.25" customHeight="1" spans="1:16" x14ac:dyDescent="0.25"/>
    <row r="844" ht="14.25" customHeight="1" spans="1:16" x14ac:dyDescent="0.25"/>
    <row r="845" ht="14.25" customHeight="1" spans="1:16" x14ac:dyDescent="0.25"/>
    <row r="846" ht="14.25" customHeight="1" spans="1:16" x14ac:dyDescent="0.25"/>
    <row r="847" ht="14.25" customHeight="1" spans="1:16" x14ac:dyDescent="0.25"/>
    <row r="848" ht="14.25" customHeight="1" spans="1:16" x14ac:dyDescent="0.25"/>
    <row r="849" ht="14.25" customHeight="1" spans="1:16" x14ac:dyDescent="0.25"/>
    <row r="850" ht="14.25" customHeight="1" spans="1:16" x14ac:dyDescent="0.25"/>
    <row r="851" ht="14.25" customHeight="1" spans="1:16" x14ac:dyDescent="0.25"/>
    <row r="852" ht="14.25" customHeight="1" spans="1:16" x14ac:dyDescent="0.25"/>
    <row r="853" ht="14.25" customHeight="1" spans="1:16" x14ac:dyDescent="0.25"/>
    <row r="854" ht="14.25" customHeight="1" spans="1:16" x14ac:dyDescent="0.25"/>
    <row r="855" ht="14.25" customHeight="1" spans="1:16" x14ac:dyDescent="0.25"/>
    <row r="856" ht="14.25" customHeight="1" spans="1:16" x14ac:dyDescent="0.25"/>
    <row r="857" ht="14.25" customHeight="1" spans="1:16" x14ac:dyDescent="0.25"/>
    <row r="858" ht="14.25" customHeight="1" spans="1:16" x14ac:dyDescent="0.25"/>
    <row r="859" ht="14.25" customHeight="1" spans="1:16" x14ac:dyDescent="0.25"/>
    <row r="860" ht="14.25" customHeight="1" spans="1:16" x14ac:dyDescent="0.25"/>
    <row r="861" ht="14.25" customHeight="1" spans="1:16" x14ac:dyDescent="0.25"/>
    <row r="862" ht="14.25" customHeight="1" spans="1:16" x14ac:dyDescent="0.25"/>
    <row r="863" ht="14.25" customHeight="1" spans="1:16" x14ac:dyDescent="0.25"/>
    <row r="864" ht="14.25" customHeight="1" spans="1:16" x14ac:dyDescent="0.25"/>
    <row r="865" ht="14.25" customHeight="1" spans="1:16" x14ac:dyDescent="0.25"/>
    <row r="866" ht="14.25" customHeight="1" spans="1:16" x14ac:dyDescent="0.25"/>
    <row r="867" ht="14.25" customHeight="1" spans="1:16" x14ac:dyDescent="0.25"/>
    <row r="868" ht="14.25" customHeight="1" spans="1:16" x14ac:dyDescent="0.25"/>
    <row r="869" ht="14.25" customHeight="1" spans="1:16" x14ac:dyDescent="0.25"/>
    <row r="870" ht="14.25" customHeight="1" spans="1:16" x14ac:dyDescent="0.25"/>
    <row r="871" ht="14.25" customHeight="1" spans="1:16" x14ac:dyDescent="0.25"/>
    <row r="872" ht="14.25" customHeight="1" spans="1:16" x14ac:dyDescent="0.25"/>
    <row r="873" ht="14.25" customHeight="1" spans="1:16" x14ac:dyDescent="0.25"/>
    <row r="874" ht="14.25" customHeight="1" spans="1:16" x14ac:dyDescent="0.25"/>
    <row r="875" ht="14.25" customHeight="1" spans="1:16" x14ac:dyDescent="0.25"/>
    <row r="876" ht="14.25" customHeight="1" spans="1:16" x14ac:dyDescent="0.25"/>
    <row r="877" ht="14.25" customHeight="1" spans="1:16" x14ac:dyDescent="0.25"/>
    <row r="878" ht="14.25" customHeight="1" spans="1:16" x14ac:dyDescent="0.25"/>
    <row r="879" ht="14.25" customHeight="1" spans="1:16" x14ac:dyDescent="0.25"/>
    <row r="880" ht="14.25" customHeight="1" spans="1:16" x14ac:dyDescent="0.25"/>
    <row r="881" ht="14.25" customHeight="1" spans="1:16" x14ac:dyDescent="0.25"/>
    <row r="882" ht="14.25" customHeight="1" spans="1:16" x14ac:dyDescent="0.25"/>
    <row r="883" ht="14.25" customHeight="1" spans="1:16" x14ac:dyDescent="0.25"/>
    <row r="884" ht="14.25" customHeight="1" spans="1:16" x14ac:dyDescent="0.25"/>
    <row r="885" ht="14.25" customHeight="1" spans="1:16" x14ac:dyDescent="0.25"/>
    <row r="886" ht="14.25" customHeight="1" spans="1:16" x14ac:dyDescent="0.25"/>
    <row r="887" ht="14.25" customHeight="1" spans="1:16" x14ac:dyDescent="0.25"/>
    <row r="888" ht="14.25" customHeight="1" spans="1:16" x14ac:dyDescent="0.25"/>
    <row r="889" ht="14.25" customHeight="1" spans="1:16" x14ac:dyDescent="0.25"/>
    <row r="890" ht="14.25" customHeight="1" spans="1:16" x14ac:dyDescent="0.25"/>
    <row r="891" ht="14.25" customHeight="1" spans="1:16" x14ac:dyDescent="0.25"/>
    <row r="892" ht="14.25" customHeight="1" spans="1:16" x14ac:dyDescent="0.25"/>
    <row r="893" ht="14.25" customHeight="1" spans="1:16" x14ac:dyDescent="0.25"/>
    <row r="894" ht="14.25" customHeight="1" spans="1:16" x14ac:dyDescent="0.25"/>
    <row r="895" ht="14.25" customHeight="1" spans="1:16" x14ac:dyDescent="0.25"/>
    <row r="896" ht="14.25" customHeight="1" spans="1:16" x14ac:dyDescent="0.25"/>
    <row r="897" ht="14.25" customHeight="1" spans="1:16" x14ac:dyDescent="0.25"/>
    <row r="898" ht="14.25" customHeight="1" spans="1:16" x14ac:dyDescent="0.25"/>
    <row r="899" ht="14.25" customHeight="1" spans="1:16" x14ac:dyDescent="0.25"/>
    <row r="900" ht="14.25" customHeight="1" spans="1:16" x14ac:dyDescent="0.25"/>
    <row r="901" ht="14.25" customHeight="1" spans="1:16" x14ac:dyDescent="0.25"/>
    <row r="902" ht="14.25" customHeight="1" spans="1:16" x14ac:dyDescent="0.25"/>
    <row r="903" ht="14.25" customHeight="1" spans="1:16" x14ac:dyDescent="0.25"/>
    <row r="904" ht="14.25" customHeight="1" spans="1:16" x14ac:dyDescent="0.25"/>
    <row r="905" ht="14.25" customHeight="1" spans="1:16" x14ac:dyDescent="0.25"/>
    <row r="906" ht="14.25" customHeight="1" spans="1:16" x14ac:dyDescent="0.25"/>
    <row r="907" ht="14.25" customHeight="1" spans="1:16" x14ac:dyDescent="0.25"/>
    <row r="908" ht="14.25" customHeight="1" spans="1:16" x14ac:dyDescent="0.25"/>
    <row r="909" ht="14.25" customHeight="1" spans="1:16" x14ac:dyDescent="0.25"/>
    <row r="910" ht="14.25" customHeight="1" spans="1:16" x14ac:dyDescent="0.25"/>
    <row r="911" ht="14.25" customHeight="1" spans="1:16" x14ac:dyDescent="0.25"/>
    <row r="912" ht="14.25" customHeight="1" spans="1:16" x14ac:dyDescent="0.25"/>
    <row r="913" ht="14.25" customHeight="1" spans="1:16" x14ac:dyDescent="0.25"/>
    <row r="914" ht="14.25" customHeight="1" spans="1:16" x14ac:dyDescent="0.25"/>
    <row r="915" ht="14.25" customHeight="1" spans="1:16" x14ac:dyDescent="0.25"/>
    <row r="916" ht="14.25" customHeight="1" spans="1:16" x14ac:dyDescent="0.25"/>
    <row r="917" ht="14.25" customHeight="1" spans="1:16" x14ac:dyDescent="0.25"/>
    <row r="918" ht="14.25" customHeight="1" spans="1:16" x14ac:dyDescent="0.25"/>
    <row r="919" ht="14.25" customHeight="1" spans="1:16" x14ac:dyDescent="0.25"/>
    <row r="920" ht="14.25" customHeight="1" spans="1:16" x14ac:dyDescent="0.25"/>
    <row r="921" ht="14.25" customHeight="1" spans="1:16" x14ac:dyDescent="0.25"/>
    <row r="922" ht="14.25" customHeight="1" spans="1:16" x14ac:dyDescent="0.25"/>
    <row r="923" ht="14.25" customHeight="1" spans="1:16" x14ac:dyDescent="0.25"/>
    <row r="924" ht="14.25" customHeight="1" spans="1:16" x14ac:dyDescent="0.25"/>
    <row r="925" ht="14.25" customHeight="1" spans="1:16" x14ac:dyDescent="0.25"/>
    <row r="926" ht="14.25" customHeight="1" spans="1:16" x14ac:dyDescent="0.25"/>
    <row r="927" ht="14.25" customHeight="1" spans="1:16" x14ac:dyDescent="0.25"/>
    <row r="928" ht="14.25" customHeight="1" spans="1:16" x14ac:dyDescent="0.25"/>
    <row r="929" ht="14.25" customHeight="1" spans="1:16" x14ac:dyDescent="0.25"/>
    <row r="930" ht="14.25" customHeight="1" spans="1:16" x14ac:dyDescent="0.25"/>
    <row r="931" ht="14.25" customHeight="1" spans="1:16" x14ac:dyDescent="0.25"/>
    <row r="932" ht="14.25" customHeight="1" spans="1:16" x14ac:dyDescent="0.25"/>
    <row r="933" ht="14.25" customHeight="1" spans="1:16" x14ac:dyDescent="0.25"/>
    <row r="934" ht="14.25" customHeight="1" spans="1:16" x14ac:dyDescent="0.25"/>
    <row r="935" ht="14.25" customHeight="1" spans="1:16" x14ac:dyDescent="0.25"/>
    <row r="936" ht="14.25" customHeight="1" spans="1:16" x14ac:dyDescent="0.25"/>
    <row r="937" ht="14.25" customHeight="1" spans="1:16" x14ac:dyDescent="0.25"/>
    <row r="938" ht="14.25" customHeight="1" spans="1:16" x14ac:dyDescent="0.25"/>
    <row r="939" ht="14.25" customHeight="1" spans="1:16" x14ac:dyDescent="0.25"/>
    <row r="940" ht="14.25" customHeight="1" spans="1:16" x14ac:dyDescent="0.25"/>
    <row r="941" ht="14.25" customHeight="1" spans="1:16" x14ac:dyDescent="0.25"/>
    <row r="942" ht="14.25" customHeight="1" spans="1:16" x14ac:dyDescent="0.25"/>
    <row r="943" ht="14.25" customHeight="1" spans="1:16" x14ac:dyDescent="0.25"/>
    <row r="944" ht="14.25" customHeight="1" spans="1:16" x14ac:dyDescent="0.25"/>
    <row r="945" ht="14.25" customHeight="1" spans="1:16" x14ac:dyDescent="0.25"/>
    <row r="946" ht="14.25" customHeight="1" spans="1:16" x14ac:dyDescent="0.25"/>
    <row r="947" ht="14.25" customHeight="1" spans="1:16" x14ac:dyDescent="0.25"/>
    <row r="948" ht="14.25" customHeight="1" spans="1:16" x14ac:dyDescent="0.25"/>
    <row r="949" ht="14.25" customHeight="1" spans="1:16" x14ac:dyDescent="0.25"/>
    <row r="950" ht="14.25" customHeight="1" spans="1:16" x14ac:dyDescent="0.25"/>
    <row r="951" ht="14.25" customHeight="1" spans="1:16" x14ac:dyDescent="0.25"/>
    <row r="952" ht="14.25" customHeight="1" spans="1:16" x14ac:dyDescent="0.25"/>
    <row r="953" ht="14.25" customHeight="1" spans="1:16" x14ac:dyDescent="0.25"/>
    <row r="954" ht="14.25" customHeight="1" spans="1:16" x14ac:dyDescent="0.25"/>
    <row r="955" ht="14.25" customHeight="1" spans="1:16" x14ac:dyDescent="0.25"/>
    <row r="956" ht="14.25" customHeight="1" spans="1:16" x14ac:dyDescent="0.25"/>
    <row r="957" ht="14.25" customHeight="1" spans="1:16" x14ac:dyDescent="0.25"/>
    <row r="958" ht="14.25" customHeight="1" spans="1:16" x14ac:dyDescent="0.25"/>
    <row r="959" ht="14.25" customHeight="1" spans="1:16" x14ac:dyDescent="0.25"/>
    <row r="960" ht="14.25" customHeight="1" spans="1:16" x14ac:dyDescent="0.25"/>
    <row r="961" ht="14.25" customHeight="1" spans="1:16" x14ac:dyDescent="0.25"/>
    <row r="962" ht="14.25" customHeight="1" spans="1:16" x14ac:dyDescent="0.25"/>
    <row r="963" ht="14.25" customHeight="1" spans="1:16" x14ac:dyDescent="0.25"/>
    <row r="964" ht="14.25" customHeight="1" spans="1:16" x14ac:dyDescent="0.25"/>
    <row r="965" ht="14.25" customHeight="1" spans="1:16" x14ac:dyDescent="0.25"/>
    <row r="966" ht="14.25" customHeight="1" spans="1:16" x14ac:dyDescent="0.25"/>
    <row r="967" ht="14.25" customHeight="1" spans="1:16" x14ac:dyDescent="0.25"/>
    <row r="968" ht="14.25" customHeight="1" spans="1:16" x14ac:dyDescent="0.25"/>
    <row r="969" ht="14.25" customHeight="1" spans="1:16" x14ac:dyDescent="0.25"/>
    <row r="970" ht="14.25" customHeight="1" spans="1:16" x14ac:dyDescent="0.25"/>
    <row r="971" ht="14.25" customHeight="1" spans="1:16" x14ac:dyDescent="0.25"/>
    <row r="972" ht="14.25" customHeight="1" spans="1:16" x14ac:dyDescent="0.25"/>
    <row r="973" ht="14.25" customHeight="1" spans="1:16" x14ac:dyDescent="0.25"/>
    <row r="974" ht="14.25" customHeight="1" spans="1:16" x14ac:dyDescent="0.25"/>
    <row r="975" ht="14.25" customHeight="1" spans="1:16" x14ac:dyDescent="0.25"/>
    <row r="976" ht="14.25" customHeight="1" spans="1:16" x14ac:dyDescent="0.25"/>
    <row r="977" ht="14.25" customHeight="1" spans="1:16" x14ac:dyDescent="0.25"/>
    <row r="978" ht="14.25" customHeight="1" spans="1:16" x14ac:dyDescent="0.25"/>
    <row r="979" ht="14.25" customHeight="1" spans="1:16" x14ac:dyDescent="0.25"/>
    <row r="980" ht="14.25" customHeight="1" spans="1:16" x14ac:dyDescent="0.25"/>
    <row r="981" ht="14.25" customHeight="1" spans="1:16" x14ac:dyDescent="0.25"/>
    <row r="982" ht="14.25" customHeight="1" spans="1:16" x14ac:dyDescent="0.25"/>
    <row r="983" ht="14.25" customHeight="1" spans="1:16" x14ac:dyDescent="0.25"/>
    <row r="984" ht="14.25" customHeight="1" spans="1:16" x14ac:dyDescent="0.25"/>
    <row r="985" ht="14.25" customHeight="1" spans="1:16" x14ac:dyDescent="0.25"/>
    <row r="986" ht="14.25" customHeight="1" spans="1:16" x14ac:dyDescent="0.25"/>
    <row r="987" ht="14.25" customHeight="1" spans="1:16" x14ac:dyDescent="0.25"/>
    <row r="988" ht="14.25" customHeight="1" spans="1:16" x14ac:dyDescent="0.25"/>
    <row r="989" ht="14.25" customHeight="1" spans="1:16" x14ac:dyDescent="0.25"/>
    <row r="990" ht="14.25" customHeight="1" spans="1:16" x14ac:dyDescent="0.25"/>
    <row r="991" ht="14.25" customHeight="1" spans="1:16" x14ac:dyDescent="0.25"/>
    <row r="992" ht="14.25" customHeight="1" spans="1:16" x14ac:dyDescent="0.25"/>
    <row r="993" ht="14.25" customHeight="1" spans="1:16" x14ac:dyDescent="0.25"/>
    <row r="994" ht="14.25" customHeight="1" spans="1:16" x14ac:dyDescent="0.25"/>
    <row r="995" ht="14.25" customHeight="1" spans="1:16" x14ac:dyDescent="0.25"/>
    <row r="996" ht="14.25" customHeight="1" spans="1:16" x14ac:dyDescent="0.25"/>
    <row r="997" ht="14.25" customHeight="1" spans="1:16" x14ac:dyDescent="0.25"/>
    <row r="998" ht="14.25" customHeight="1" spans="1:16" x14ac:dyDescent="0.25"/>
    <row r="999" ht="14.25" customHeight="1" spans="1:16" x14ac:dyDescent="0.25"/>
    <row r="1000" ht="14.25" customHeight="1" spans="1:16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</vt:lpstr>
      <vt:lpstr>B</vt:lpstr>
      <vt:lpstr>C</vt:lpstr>
      <vt:lpstr>D</vt:lpstr>
      <vt:lpstr>Du lieu</vt:lpstr>
      <vt:lpstr>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Nguyen Anh Nhat</cp:lastModifiedBy>
  <dcterms:created xsi:type="dcterms:W3CDTF">2021-04-04T03:17:09Z</dcterms:created>
  <dcterms:modified xsi:type="dcterms:W3CDTF">2026-09-30T08:10:06Z</dcterms:modified>
</cp:coreProperties>
</file>